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10" tabRatio="500" activeTab="5"/>
  </bookViews>
  <sheets>
    <sheet name="Master Tracker" sheetId="1" r:id="rId1"/>
    <sheet name="Kester" sheetId="2" r:id="rId2"/>
    <sheet name="Grace" sheetId="3" r:id="rId3"/>
    <sheet name="Izumi" sheetId="4" r:id="rId4"/>
    <sheet name="Ogo" sheetId="5" r:id="rId5"/>
    <sheet name="Legen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<sst xmlns="http://schemas.openxmlformats.org/spreadsheetml/2006/main" count="478" uniqueCount="126">
  <si>
    <t>Silver Walks — Auth Flow Cleanup Sprint  ·  Week of 13 April 2026</t>
  </si>
  <si>
    <t>TOTAL TASKS</t>
  </si>
  <si>
    <t>25</t>
  </si>
  <si>
    <t>DONE</t>
  </si>
  <si>
    <t>IN PROGRESS</t>
  </si>
  <si>
    <t>BLOCKED</t>
  </si>
  <si>
    <t>COMPLETION RATE</t>
  </si>
  <si>
    <t>VERIFIED RATE</t>
  </si>
  <si>
    <t>#</t>
  </si>
  <si>
    <t>Day</t>
  </si>
  <si>
    <t>Engineer</t>
  </si>
  <si>
    <t>Pair</t>
  </si>
  <si>
    <t>Scope</t>
  </si>
  <si>
    <t>Task</t>
  </si>
  <si>
    <t>Description</t>
  </si>
  <si>
    <t>Status</t>
  </si>
  <si>
    <t>Progress %</t>
  </si>
  <si>
    <t>Verification Status</t>
  </si>
  <si>
    <t>Verification %</t>
  </si>
  <si>
    <t>Notes</t>
  </si>
  <si>
    <t>Monday</t>
  </si>
  <si>
    <t>Kester</t>
  </si>
  <si>
    <t>A</t>
  </si>
  <si>
    <t>BE</t>
  </si>
  <si>
    <t>Define error response contract</t>
  </si>
  <si>
    <t>Agree shape { code, message, field? }. Publish before 11am.</t>
  </si>
  <si>
    <t>Not Started</t>
  </si>
  <si>
    <t>Pending</t>
  </si>
  <si>
    <t>Login + password reset audit</t>
  </si>
  <si>
    <t>List every current error response. Mark generic or leaking internals.</t>
  </si>
  <si>
    <t>Izumi</t>
  </si>
  <si>
    <t>B</t>
  </si>
  <si>
    <t>Registration + OTP audit</t>
  </si>
  <si>
    <t>List every error in nurse and elderly registration flows.</t>
  </si>
  <si>
    <t>Grace</t>
  </si>
  <si>
    <t>FE</t>
  </si>
  <si>
    <t>Login screen audit</t>
  </si>
  <si>
    <t>Screenshot every state. List broken breakpoints and missing feedback.</t>
  </si>
  <si>
    <t>Ogo</t>
  </si>
  <si>
    <t>Registration screens audit</t>
  </si>
  <si>
    <t>Walk both nurse and elderly flows. Screenshot missing states.</t>
  </si>
  <si>
    <t>Tuesday</t>
  </si>
  <si>
    <t>Login error codes</t>
  </si>
  <si>
    <t>INVALID_CREDENTIALS, ACCOUNT_PENDING, ACCOUNT_DEACTIVATED, EMAIL_NOT_VERIFIED.</t>
  </si>
  <si>
    <t>Password reset error codes</t>
  </si>
  <si>
    <t>RESET_TOKEN_EXPIRED, RESET_TOKEN_INVALID, PASSWORD_TOO_WEAK, PASSWORD_SAME_AS_OLD.</t>
  </si>
  <si>
    <t>Registration error codes</t>
  </si>
  <si>
    <t>EMAIL_ALREADY_EXISTS, PHONE_ALREADY_EXISTS, INVALID_PHONE_FORMAT, WEAK_PASSWORD.</t>
  </si>
  <si>
    <t>OTP error codes</t>
  </si>
  <si>
    <t>OTP_EXPIRED, OTP_INVALID, OTP_MAX_ATTEMPTS_REACHED, OTP_ALREADY_USED.</t>
  </si>
  <si>
    <t>Build shared auth feedback components</t>
  </si>
  <si>
    <t>FieldError, FormBanner, LoadingButton, PasswordStrengthMeter.</t>
  </si>
  <si>
    <t>Agree component API with Grace before splitting screens.</t>
  </si>
  <si>
    <t>Wednesday</t>
  </si>
  <si>
    <t>Login — loading + error states</t>
  </si>
  <si>
    <t>Spinner on submit. Inline errors. Banner for account-level errors.</t>
  </si>
  <si>
    <t>Login — responsive layout</t>
  </si>
  <si>
    <t>Fix at 375px, 768px, 1024px. No horizontal overflow.</t>
  </si>
  <si>
    <t>OTP screen — full feedback</t>
  </si>
  <si>
    <t>Countdown, wrong code shake, lock state, resend cooldown.</t>
  </si>
  <si>
    <t>Registration — step progress indicator</t>
  </si>
  <si>
    <t>Visual stepper for nurse and elderly flows.</t>
  </si>
  <si>
    <t>Registration — field-level error display</t>
  </si>
  <si>
    <t>Map BE error codes to inline errors. Show on blur + submit.</t>
  </si>
  <si>
    <t>Thursday</t>
  </si>
  <si>
    <t>Password reset flow — all states</t>
  </si>
  <si>
    <t>Step 1, 2, 3 each with loading, error, success states.</t>
  </si>
  <si>
    <t>Login — success + redirect polish</t>
  </si>
  <si>
    <t>Role-based routing: nurse vs elderly vs admin.</t>
  </si>
  <si>
    <t>Registration — responsive layout fixes</t>
  </si>
  <si>
    <t>Fix all breakpoints from Monday audit.</t>
  </si>
  <si>
    <t>Registration — success + pending states</t>
  </si>
  <si>
    <t>Elderly email prompt. Nurse ACCOUNT_PENDING explanation screen.</t>
  </si>
  <si>
    <t>Auth error integration tests</t>
  </si>
  <si>
    <t>One test per error code. Assert HTTP status, code string, message.</t>
  </si>
  <si>
    <t>Friday</t>
  </si>
  <si>
    <t>BE PR review + staging deploy</t>
  </si>
  <si>
    <t>Review Izumi's codes. Confirm consistent shape. Merge to staging.</t>
  </si>
  <si>
    <t>Postman collection update</t>
  </si>
  <si>
    <t>Add example request + expected error for every new error code.</t>
  </si>
  <si>
    <t>Login flow — full walkthrough QA</t>
  </si>
  <si>
    <t>Test Chrome/Safari/Firefox at 375/768/1440px. Trigger every error state.</t>
  </si>
  <si>
    <t>Registration flow — full walkthrough QA</t>
  </si>
  <si>
    <t>Walk nurse + elderly flows all breakpoints. Verify all error codes.</t>
  </si>
  <si>
    <t>Kester  ·  Pair A — Backend  ·  Auth Flow Sprint</t>
  </si>
  <si>
    <t>TASKS</t>
  </si>
  <si>
    <t>5</t>
  </si>
  <si>
    <t>TASKS DONE %</t>
  </si>
  <si>
    <t>Completion Rate %</t>
  </si>
  <si>
    <t>Verification Rate %</t>
  </si>
  <si>
    <t>Pair Partner</t>
  </si>
  <si>
    <t>Grace  ·  Pair A — Frontend  ·  Auth Flow Sprint</t>
  </si>
  <si>
    <t>8</t>
  </si>
  <si>
    <t>Izumi  ·  Pair B — Backend  ·  Auth Flow Sprint</t>
  </si>
  <si>
    <t>Ogo  ·  Pair B — Frontend  ·  Auth Flow Sprint</t>
  </si>
  <si>
    <t>7</t>
  </si>
  <si>
    <t>Legend &amp; Guide</t>
  </si>
  <si>
    <t>Status values</t>
  </si>
  <si>
    <t>Task has not begun</t>
  </si>
  <si>
    <t>In Progress</t>
  </si>
  <si>
    <t>Task is actively being worked on</t>
  </si>
  <si>
    <t>Blocked</t>
  </si>
  <si>
    <t>Task is blocked — add note in Notes column</t>
  </si>
  <si>
    <t>Done</t>
  </si>
  <si>
    <t>Task is complete</t>
  </si>
  <si>
    <t>Verification values</t>
  </si>
  <si>
    <t>Awaiting review</t>
  </si>
  <si>
    <t>In Review</t>
  </si>
  <si>
    <t>Under review by pair partner or lead</t>
  </si>
  <si>
    <t>Approved</t>
  </si>
  <si>
    <t>Reviewed and signed off</t>
  </si>
  <si>
    <t>Failed</t>
  </si>
  <si>
    <t>Review failed — needs rework</t>
  </si>
  <si>
    <t>Engineer colour coding</t>
  </si>
  <si>
    <t>Backend — Pair A (login)</t>
  </si>
  <si>
    <t>Frontend — Pair A (login)</t>
  </si>
  <si>
    <t>Backend — Pair B (registration)</t>
  </si>
  <si>
    <t>Frontend — Pair B (registration)</t>
  </si>
  <si>
    <t>How to use this tracker</t>
  </si>
  <si>
    <t>1. Each engineer updates their own named sheet daily.</t>
  </si>
  <si>
    <t>2. Set Status via the dropdown — conditional formatting updates automatically.</t>
  </si>
  <si>
    <t>3. Set Progress % (0–100) as work advances. 100 = fully done.</t>
  </si>
  <si>
    <t>4. Pair partner sets Verification Status once they review the work.</t>
  </si>
  <si>
    <t>5. Set Verification % to reflect how much of the output has been verified.</t>
  </si>
  <si>
    <t>6. The Master Tracker sheet shows all tasks and live summary totals at the top.</t>
  </si>
  <si>
    <t>7. Upload this file to Google Sheets — all dropdowns and formulas work natively.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</si>
</sst>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\%"/>
  </numFmts>
  <fonts count="53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0"/>
      <color rgb="FF1A1A2E"/>
      <name val="Arial"/>
      <charset val="1"/>
    </font>
    <font>
      <b/>
      <sz val="10"/>
      <color rgb="FF666666"/>
      <name val="Arial"/>
      <charset val="1"/>
    </font>
    <font>
      <sz val="10"/>
      <color rgb="FF555555"/>
      <name val="Arial"/>
      <charset val="1"/>
    </font>
    <font>
      <b/>
      <sz val="10"/>
      <color rgb="FF856404"/>
      <name val="Arial"/>
      <charset val="1"/>
    </font>
    <font>
      <b/>
      <sz val="10"/>
      <color rgb="FF721C24"/>
      <name val="Arial"/>
      <charset val="1"/>
    </font>
    <font>
      <b/>
      <sz val="10"/>
      <color rgb="FF155724"/>
      <name val="Arial"/>
      <charset val="1"/>
    </font>
    <font>
      <b/>
      <sz val="10"/>
      <color rgb="FF555555"/>
      <name val="Arial"/>
      <charset val="1"/>
    </font>
    <font>
      <b/>
      <sz val="10"/>
      <color rgb="FF0C5460"/>
      <name val="Arial"/>
      <charset val="1"/>
    </font>
    <font>
      <b/>
      <sz val="10"/>
      <color rgb="FF185FA5"/>
      <name val="Arial"/>
      <charset val="1"/>
    </font>
    <font>
      <b/>
      <sz val="10"/>
      <color rgb="FF3C3489"/>
      <name val="Arial"/>
      <charset val="1"/>
    </font>
    <font>
      <b/>
      <sz val="10"/>
      <color rgb="FF085041"/>
      <name val="Arial"/>
      <charset val="1"/>
    </font>
    <font>
      <b/>
      <sz val="10"/>
      <color rgb="FF72243E"/>
      <name val="Arial"/>
      <charset val="1"/>
    </font>
    <font>
      <b/>
      <sz val="8"/>
      <color rgb="FF888888"/>
      <name val="Arial"/>
      <charset val="1"/>
    </font>
    <font>
      <b/>
      <sz val="11"/>
      <color rgb="FF72243E"/>
      <name val="Arial"/>
      <charset val="1"/>
    </font>
    <font>
      <b/>
      <sz val="10"/>
      <color rgb="FFFFFFFF"/>
      <name val="Arial"/>
      <charset val="1"/>
    </font>
    <font>
      <sz val="9"/>
      <color rgb="FF999999"/>
      <name val="Arial"/>
      <charset val="1"/>
    </font>
    <font>
      <b/>
      <sz val="9"/>
      <color rgb="FF72243E"/>
      <name val="Arial"/>
      <charset val="1"/>
    </font>
    <font>
      <sz val="9"/>
      <color rgb="FF555555"/>
      <name val="Arial"/>
      <charset val="1"/>
    </font>
    <font>
      <i/>
      <sz val="9"/>
      <color rgb="FF888888"/>
      <name val="Arial"/>
      <charset val="1"/>
    </font>
    <font>
      <i/>
      <sz val="9"/>
      <color rgb="FF555555"/>
      <name val="Arial"/>
      <charset val="1"/>
    </font>
    <font>
      <b/>
      <sz val="11"/>
      <color rgb="FF085041"/>
      <name val="Arial"/>
      <charset val="1"/>
    </font>
    <font>
      <b/>
      <sz val="9"/>
      <color rgb="FF085041"/>
      <name val="Arial"/>
      <charset val="1"/>
    </font>
    <font>
      <b/>
      <sz val="11"/>
      <color rgb="FF3C3489"/>
      <name val="Arial"/>
      <charset val="1"/>
    </font>
    <font>
      <b/>
      <sz val="9"/>
      <color rgb="FF3C3489"/>
      <name val="Arial"/>
      <charset val="1"/>
    </font>
    <font>
      <b/>
      <sz val="11"/>
      <color rgb="FF185FA5"/>
      <name val="Arial"/>
      <charset val="1"/>
    </font>
    <font>
      <b/>
      <sz val="9"/>
      <color rgb="FF185FA5"/>
      <name val="Arial"/>
      <charset val="1"/>
    </font>
    <font>
      <b/>
      <sz val="13"/>
      <color rgb="FFFFFFFF"/>
      <name val="Arial"/>
      <charset val="1"/>
    </font>
    <font>
      <b/>
      <sz val="11"/>
      <color rgb="FF1A1A2E"/>
      <name val="Arial"/>
      <charset val="1"/>
    </font>
    <font>
      <b/>
      <sz val="9"/>
      <color rgb="FF555555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A1A2E"/>
        <bgColor rgb="FF000000"/>
      </patternFill>
    </fill>
    <fill>
      <patternFill patternType="solid">
        <fgColor rgb="FFF0F0F0"/>
        <bgColor rgb="FFF5F5F5"/>
      </patternFill>
    </fill>
    <fill>
      <patternFill patternType="solid">
        <fgColor rgb="FFE0E0E0"/>
        <bgColor rgb="FFDDDDDD"/>
      </patternFill>
    </fill>
    <fill>
      <patternFill patternType="solid">
        <fgColor rgb="FFFFF3CD"/>
        <bgColor rgb="FFFBEAF0"/>
      </patternFill>
    </fill>
    <fill>
      <patternFill patternType="solid">
        <fgColor rgb="FFF8D7DA"/>
        <bgColor rgb="FFE0E0E0"/>
      </patternFill>
    </fill>
    <fill>
      <patternFill patternType="solid">
        <fgColor rgb="FFD4EDDA"/>
        <bgColor rgb="FFD1ECF1"/>
      </patternFill>
    </fill>
    <fill>
      <patternFill patternType="solid">
        <fgColor rgb="FFFFFFFF"/>
        <bgColor rgb="FFF7F7F7"/>
      </patternFill>
    </fill>
    <fill>
      <patternFill patternType="solid">
        <fgColor rgb="FFD1ECF1"/>
        <bgColor rgb="FFD6E8F5"/>
      </patternFill>
    </fill>
    <fill>
      <patternFill patternType="solid">
        <fgColor rgb="FFD6E8F5"/>
        <bgColor rgb="FFD1ECF1"/>
      </patternFill>
    </fill>
    <fill>
      <patternFill patternType="solid">
        <fgColor rgb="FFEEEDFE"/>
        <bgColor rgb="FFF0F0F0"/>
      </patternFill>
    </fill>
    <fill>
      <patternFill patternType="solid">
        <fgColor rgb="FFE1F5EE"/>
        <bgColor rgb="FFF0F0F0"/>
      </patternFill>
    </fill>
    <fill>
      <patternFill patternType="solid">
        <fgColor rgb="FFFBEAF0"/>
        <bgColor rgb="FFF0F0F0"/>
      </patternFill>
    </fill>
    <fill>
      <patternFill patternType="solid">
        <fgColor rgb="FF72243E"/>
        <bgColor rgb="FF721C24"/>
      </patternFill>
    </fill>
    <fill>
      <patternFill patternType="solid">
        <fgColor rgb="FFF5F5F5"/>
        <bgColor rgb="FFF7F7F7"/>
      </patternFill>
    </fill>
    <fill>
      <patternFill patternType="solid">
        <fgColor rgb="FF085041"/>
        <bgColor rgb="FF0C5460"/>
      </patternFill>
    </fill>
    <fill>
      <patternFill patternType="solid">
        <fgColor rgb="FF3C3489"/>
        <bgColor rgb="FF555555"/>
      </patternFill>
    </fill>
    <fill>
      <patternFill patternType="solid">
        <fgColor rgb="FF185FA5"/>
        <bgColor rgb="FF0C5460"/>
      </patternFill>
    </fill>
    <fill>
      <patternFill patternType="solid">
        <fgColor rgb="FFF7F7F7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2" fillId="0" borderId="0" applyBorder="0" applyAlignment="0" applyProtection="0"/>
    <xf numFmtId="44" fontId="32" fillId="0" borderId="0" applyBorder="0" applyAlignment="0" applyProtection="0"/>
    <xf numFmtId="9" fontId="32" fillId="0" borderId="0" applyBorder="0" applyAlignment="0" applyProtection="0"/>
    <xf numFmtId="41" fontId="32" fillId="0" borderId="0" applyBorder="0" applyAlignment="0" applyProtection="0"/>
    <xf numFmtId="42" fontId="32" fillId="0" borderId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0" borderId="3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1" borderId="6" applyNumberFormat="0" applyAlignment="0" applyProtection="0">
      <alignment vertical="center"/>
    </xf>
    <xf numFmtId="0" fontId="43" fillId="22" borderId="7" applyNumberFormat="0" applyAlignment="0" applyProtection="0">
      <alignment vertical="center"/>
    </xf>
    <xf numFmtId="0" fontId="44" fillId="22" borderId="6" applyNumberFormat="0" applyAlignment="0" applyProtection="0">
      <alignment vertical="center"/>
    </xf>
    <xf numFmtId="0" fontId="45" fillId="23" borderId="8" applyNumberFormat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</cellStyleXfs>
  <cellXfs count="94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2" fillId="3" borderId="0" xfId="0" applyFont="1" applyFill="1"/>
    <xf numFmtId="0" fontId="4" fillId="0" borderId="0" xfId="0" applyFont="1" applyBorder="1"/>
    <xf numFmtId="0" fontId="1" fillId="14" borderId="0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right" vertical="center"/>
    </xf>
    <xf numFmtId="0" fontId="15" fillId="15" borderId="1" xfId="0" applyFont="1" applyFill="1" applyBorder="1" applyAlignment="1">
      <alignment horizontal="left" vertical="center"/>
    </xf>
    <xf numFmtId="0" fontId="16" fillId="14" borderId="2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176" fontId="4" fillId="8" borderId="1" xfId="0" applyNumberFormat="1" applyFont="1" applyFill="1" applyBorder="1" applyAlignment="1">
      <alignment horizontal="center" vertical="center"/>
    </xf>
    <xf numFmtId="176" fontId="13" fillId="8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176" fontId="4" fillId="13" borderId="1" xfId="0" applyNumberFormat="1" applyFont="1" applyFill="1" applyBorder="1" applyAlignment="1">
      <alignment horizontal="center" vertical="center"/>
    </xf>
    <xf numFmtId="176" fontId="13" fillId="13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left" vertical="center" wrapText="1"/>
    </xf>
    <xf numFmtId="0" fontId="1" fillId="16" borderId="0" xfId="0" applyFont="1" applyFill="1" applyBorder="1" applyAlignment="1">
      <alignment horizontal="left" vertical="center"/>
    </xf>
    <xf numFmtId="0" fontId="22" fillId="15" borderId="1" xfId="0" applyFont="1" applyFill="1" applyBorder="1" applyAlignment="1">
      <alignment horizontal="left" vertical="center"/>
    </xf>
    <xf numFmtId="0" fontId="16" fillId="16" borderId="2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176" fontId="4" fillId="12" borderId="1" xfId="0" applyNumberFormat="1" applyFont="1" applyFill="1" applyBorder="1" applyAlignment="1">
      <alignment horizontal="center" vertical="center"/>
    </xf>
    <xf numFmtId="176" fontId="12" fillId="12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 wrapText="1"/>
    </xf>
    <xf numFmtId="0" fontId="1" fillId="17" borderId="0" xfId="0" applyFont="1" applyFill="1" applyBorder="1" applyAlignment="1">
      <alignment horizontal="left" vertical="center"/>
    </xf>
    <xf numFmtId="0" fontId="24" fillId="15" borderId="1" xfId="0" applyFont="1" applyFill="1" applyBorder="1" applyAlignment="1">
      <alignment horizontal="left" vertical="center"/>
    </xf>
    <xf numFmtId="0" fontId="16" fillId="17" borderId="2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76" fontId="11" fillId="8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176" fontId="4" fillId="11" borderId="1" xfId="0" applyNumberFormat="1" applyFont="1" applyFill="1" applyBorder="1" applyAlignment="1">
      <alignment horizontal="center" vertical="center"/>
    </xf>
    <xf numFmtId="176" fontId="11" fillId="11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left" vertical="center" wrapText="1"/>
    </xf>
    <xf numFmtId="0" fontId="1" fillId="18" borderId="0" xfId="0" applyFont="1" applyFill="1" applyBorder="1" applyAlignment="1">
      <alignment horizontal="left" vertical="center"/>
    </xf>
    <xf numFmtId="0" fontId="26" fillId="15" borderId="1" xfId="0" applyFont="1" applyFill="1" applyBorder="1" applyAlignment="1">
      <alignment horizontal="left" vertical="center"/>
    </xf>
    <xf numFmtId="0" fontId="16" fillId="18" borderId="2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176" fontId="4" fillId="10" borderId="1" xfId="0" applyNumberFormat="1" applyFont="1" applyFill="1" applyBorder="1" applyAlignment="1">
      <alignment horizontal="center" vertical="center"/>
    </xf>
    <xf numFmtId="176" fontId="10" fillId="10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left" vertical="center" wrapText="1"/>
    </xf>
    <xf numFmtId="0" fontId="28" fillId="2" borderId="0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0" fontId="29" fillId="3" borderId="1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 wrapText="1"/>
    </xf>
    <xf numFmtId="0" fontId="19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/>
    </xf>
    <xf numFmtId="0" fontId="31" fillId="16" borderId="1" xfId="0" applyFont="1" applyFill="1" applyBorder="1" applyAlignment="1">
      <alignment horizontal="center" vertical="center"/>
    </xf>
    <xf numFmtId="176" fontId="4" fillId="19" borderId="1" xfId="0" applyNumberFormat="1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Arial"/>
        <scheme val="none"/>
        <charset val="1"/>
        <family val="0"/>
        <b val="1"/>
        <sz val="10"/>
        <color rgb="FF155724"/>
      </font>
      <fill>
        <patternFill patternType="solid">
          <bgColor rgb="FFD4EDDA"/>
        </patternFill>
      </fill>
    </dxf>
    <dxf>
      <font>
        <name val="Arial"/>
        <scheme val="none"/>
        <charset val="1"/>
        <family val="0"/>
        <b val="1"/>
        <sz val="10"/>
        <color rgb="FF856404"/>
      </font>
      <fill>
        <patternFill patternType="solid">
          <bgColor rgb="FFFFF3CD"/>
        </patternFill>
      </fill>
    </dxf>
    <dxf>
      <font>
        <name val="Arial"/>
        <scheme val="none"/>
        <charset val="1"/>
        <family val="0"/>
        <b val="1"/>
        <sz val="10"/>
        <color rgb="FF721C24"/>
      </font>
      <fill>
        <patternFill patternType="solid">
          <bgColor rgb="FFF8D7DA"/>
        </patternFill>
      </fill>
    </dxf>
    <dxf>
      <font>
        <name val="Arial"/>
        <scheme val="none"/>
        <charset val="1"/>
        <family val="0"/>
        <sz val="10"/>
        <color rgb="FF666666"/>
      </font>
      <fill>
        <patternFill patternType="solid">
          <bgColor rgb="FFE0E0E0"/>
        </patternFill>
      </fill>
    </dxf>
    <dxf>
      <font>
        <name val="Arial"/>
        <scheme val="none"/>
        <charset val="1"/>
        <family val="0"/>
        <b val="1"/>
        <sz val="10"/>
        <color rgb="FF0C5460"/>
      </font>
      <fill>
        <patternFill patternType="solid">
          <bgColor rgb="FFD1ECF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21C24"/>
      <rgbColor rgb="00008000"/>
      <rgbColor rgb="00000080"/>
      <rgbColor rgb="00856404"/>
      <rgbColor rgb="00800080"/>
      <rgbColor rgb="000C5460"/>
      <rgbColor rgb="00E0E0E0"/>
      <rgbColor rgb="00888888"/>
      <rgbColor rgb="009999FF"/>
      <rgbColor rgb="0072243E"/>
      <rgbColor rgb="00FFF3CD"/>
      <rgbColor rgb="00E1F5EE"/>
      <rgbColor rgb="00660066"/>
      <rgbColor rgb="00FF8080"/>
      <rgbColor rgb="00185FA5"/>
      <rgbColor rgb="00DDDDDD"/>
      <rgbColor rgb="00000080"/>
      <rgbColor rgb="00FF00FF"/>
      <rgbColor rgb="00F7F7F7"/>
      <rgbColor rgb="0000FFFF"/>
      <rgbColor rgb="00800080"/>
      <rgbColor rgb="00800000"/>
      <rgbColor rgb="00008080"/>
      <rgbColor rgb="000000FF"/>
      <rgbColor rgb="0000CCFF"/>
      <rgbColor rgb="00D1ECF1"/>
      <rgbColor rgb="00D4EDDA"/>
      <rgbColor rgb="00F5F5F5"/>
      <rgbColor rgb="00D6E8F5"/>
      <rgbColor rgb="00FBEAF0"/>
      <rgbColor rgb="00EEEDFE"/>
      <rgbColor rgb="00F8D7DA"/>
      <rgbColor rgb="003366FF"/>
      <rgbColor rgb="0033CCCC"/>
      <rgbColor rgb="0099CC00"/>
      <rgbColor rgb="00FFCC00"/>
      <rgbColor rgb="00FF9900"/>
      <rgbColor rgb="00FF6600"/>
      <rgbColor rgb="00666666"/>
      <rgbColor rgb="00999999"/>
      <rgbColor rgb="00085041"/>
      <rgbColor rgb="00339966"/>
      <rgbColor rgb="00155724"/>
      <rgbColor rgb="00555555"/>
      <rgbColor rgb="00993300"/>
      <rgbColor rgb="00993366"/>
      <rgbColor rgb="003C348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showGridLines="0" workbookViewId="0">
      <pane ySplit="3" topLeftCell="A21" activePane="bottomLeft" state="frozen"/>
      <selection/>
      <selection pane="bottomLeft" activeCell="H4" sqref="H4"/>
    </sheetView>
  </sheetViews>
  <sheetFormatPr defaultColWidth="8.68181818181818" defaultRowHeight="14.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6" width="38" customWidth="1"/>
    <col min="7" max="7" width="48" customWidth="1"/>
    <col min="8" max="8" width="14" customWidth="1"/>
    <col min="9" max="9" width="12" customWidth="1"/>
    <col min="10" max="10" width="18" customWidth="1"/>
    <col min="11" max="11" width="14" customWidth="1"/>
    <col min="12" max="12" width="32" customWidth="1"/>
  </cols>
  <sheetData>
    <row r="1" ht="27.75" customHeight="1" spans="1:12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ht="21.75" customHeight="1" spans="1:12">
      <c r="A2" s="81" t="s">
        <v>1</v>
      </c>
      <c r="B2" s="82" t="s">
        <v>2</v>
      </c>
      <c r="C2" s="81" t="s">
        <v>3</v>
      </c>
      <c r="D2" s="82">
        <f>COUNTIF(H4:H28,"Done")</f>
        <v>0</v>
      </c>
      <c r="E2" s="81" t="s">
        <v>4</v>
      </c>
      <c r="F2" s="82">
        <f>COUNTIF(H4:H28,"In Progress")</f>
        <v>0</v>
      </c>
      <c r="G2" s="81" t="s">
        <v>5</v>
      </c>
      <c r="H2" s="82">
        <f>COUNTIF(H4:H28,"Blocked")</f>
        <v>0</v>
      </c>
      <c r="I2" s="81" t="s">
        <v>6</v>
      </c>
      <c r="J2" s="82" t="str">
        <f>IFERROR(COUNTIF(H4:H28,"Done")/25*100,0)&amp;"%"</f>
        <v>0%</v>
      </c>
      <c r="K2" s="81" t="s">
        <v>7</v>
      </c>
      <c r="L2" s="82" t="str">
        <f>IFERROR(COUNTIF(J4:J28,"Approved")/25*100,0)&amp;"%"</f>
        <v>0%</v>
      </c>
    </row>
    <row r="3" ht="19.5" customHeight="1" spans="1:12">
      <c r="A3" s="83" t="s">
        <v>8</v>
      </c>
      <c r="B3" s="83" t="s">
        <v>9</v>
      </c>
      <c r="C3" s="83" t="s">
        <v>10</v>
      </c>
      <c r="D3" s="83" t="s">
        <v>11</v>
      </c>
      <c r="E3" s="83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83" t="s">
        <v>17</v>
      </c>
      <c r="K3" s="83" t="s">
        <v>18</v>
      </c>
      <c r="L3" s="83" t="s">
        <v>19</v>
      </c>
    </row>
    <row r="4" ht="30" customHeight="1" spans="1:12">
      <c r="A4" s="20">
        <v>1</v>
      </c>
      <c r="B4" s="84" t="s">
        <v>20</v>
      </c>
      <c r="C4" s="10" t="s">
        <v>21</v>
      </c>
      <c r="D4" s="85" t="s">
        <v>22</v>
      </c>
      <c r="E4" s="72" t="s">
        <v>23</v>
      </c>
      <c r="F4" s="22" t="s">
        <v>24</v>
      </c>
      <c r="G4" s="23" t="s">
        <v>25</v>
      </c>
      <c r="H4" s="24" t="s">
        <v>26</v>
      </c>
      <c r="I4" s="25">
        <v>0</v>
      </c>
      <c r="J4" s="24" t="s">
        <v>27</v>
      </c>
      <c r="K4" s="25">
        <v>0</v>
      </c>
      <c r="L4" s="35"/>
    </row>
    <row r="5" ht="30" customHeight="1" spans="1:12">
      <c r="A5" s="86">
        <v>2</v>
      </c>
      <c r="B5" s="87" t="s">
        <v>20</v>
      </c>
      <c r="C5" s="10" t="s">
        <v>21</v>
      </c>
      <c r="D5" s="85" t="s">
        <v>22</v>
      </c>
      <c r="E5" s="72" t="s">
        <v>23</v>
      </c>
      <c r="F5" s="88" t="s">
        <v>28</v>
      </c>
      <c r="G5" s="89" t="s">
        <v>29</v>
      </c>
      <c r="H5" s="90" t="s">
        <v>26</v>
      </c>
      <c r="I5" s="92">
        <v>0</v>
      </c>
      <c r="J5" s="90" t="s">
        <v>27</v>
      </c>
      <c r="K5" s="92">
        <v>0</v>
      </c>
      <c r="L5" s="93"/>
    </row>
    <row r="6" ht="30" customHeight="1" spans="1:12">
      <c r="A6" s="20">
        <v>3</v>
      </c>
      <c r="B6" s="84" t="s">
        <v>20</v>
      </c>
      <c r="C6" s="12" t="s">
        <v>30</v>
      </c>
      <c r="D6" s="91" t="s">
        <v>31</v>
      </c>
      <c r="E6" s="72" t="s">
        <v>23</v>
      </c>
      <c r="F6" s="22" t="s">
        <v>32</v>
      </c>
      <c r="G6" s="23" t="s">
        <v>33</v>
      </c>
      <c r="H6" s="24" t="s">
        <v>26</v>
      </c>
      <c r="I6" s="25">
        <v>0</v>
      </c>
      <c r="J6" s="24" t="s">
        <v>27</v>
      </c>
      <c r="K6" s="25">
        <v>0</v>
      </c>
      <c r="L6" s="35"/>
    </row>
    <row r="7" ht="30" customHeight="1" spans="1:12">
      <c r="A7" s="86">
        <v>4</v>
      </c>
      <c r="B7" s="87" t="s">
        <v>20</v>
      </c>
      <c r="C7" s="11" t="s">
        <v>34</v>
      </c>
      <c r="D7" s="85" t="s">
        <v>22</v>
      </c>
      <c r="E7" s="58" t="s">
        <v>35</v>
      </c>
      <c r="F7" s="88" t="s">
        <v>36</v>
      </c>
      <c r="G7" s="89" t="s">
        <v>37</v>
      </c>
      <c r="H7" s="90" t="s">
        <v>26</v>
      </c>
      <c r="I7" s="92">
        <v>0</v>
      </c>
      <c r="J7" s="90" t="s">
        <v>27</v>
      </c>
      <c r="K7" s="92">
        <v>0</v>
      </c>
      <c r="L7" s="93"/>
    </row>
    <row r="8" ht="30" customHeight="1" spans="1:12">
      <c r="A8" s="20">
        <v>5</v>
      </c>
      <c r="B8" s="84" t="s">
        <v>20</v>
      </c>
      <c r="C8" s="13" t="s">
        <v>38</v>
      </c>
      <c r="D8" s="91" t="s">
        <v>31</v>
      </c>
      <c r="E8" s="58" t="s">
        <v>35</v>
      </c>
      <c r="F8" s="22" t="s">
        <v>39</v>
      </c>
      <c r="G8" s="23" t="s">
        <v>40</v>
      </c>
      <c r="H8" s="24" t="s">
        <v>26</v>
      </c>
      <c r="I8" s="25">
        <v>0</v>
      </c>
      <c r="J8" s="24" t="s">
        <v>27</v>
      </c>
      <c r="K8" s="25">
        <v>0</v>
      </c>
      <c r="L8" s="35"/>
    </row>
    <row r="9" ht="30" customHeight="1" spans="1:12">
      <c r="A9" s="86">
        <v>6</v>
      </c>
      <c r="B9" s="87" t="s">
        <v>41</v>
      </c>
      <c r="C9" s="10" t="s">
        <v>21</v>
      </c>
      <c r="D9" s="85" t="s">
        <v>22</v>
      </c>
      <c r="E9" s="72" t="s">
        <v>23</v>
      </c>
      <c r="F9" s="88" t="s">
        <v>42</v>
      </c>
      <c r="G9" s="89" t="s">
        <v>43</v>
      </c>
      <c r="H9" s="90" t="s">
        <v>26</v>
      </c>
      <c r="I9" s="92">
        <v>0</v>
      </c>
      <c r="J9" s="90" t="s">
        <v>27</v>
      </c>
      <c r="K9" s="92">
        <v>0</v>
      </c>
      <c r="L9" s="93"/>
    </row>
    <row r="10" ht="30" customHeight="1" spans="1:12">
      <c r="A10" s="20">
        <v>7</v>
      </c>
      <c r="B10" s="84" t="s">
        <v>41</v>
      </c>
      <c r="C10" s="10" t="s">
        <v>21</v>
      </c>
      <c r="D10" s="85" t="s">
        <v>22</v>
      </c>
      <c r="E10" s="72" t="s">
        <v>23</v>
      </c>
      <c r="F10" s="22" t="s">
        <v>44</v>
      </c>
      <c r="G10" s="23" t="s">
        <v>45</v>
      </c>
      <c r="H10" s="24" t="s">
        <v>26</v>
      </c>
      <c r="I10" s="25">
        <v>0</v>
      </c>
      <c r="J10" s="24" t="s">
        <v>27</v>
      </c>
      <c r="K10" s="25">
        <v>0</v>
      </c>
      <c r="L10" s="35"/>
    </row>
    <row r="11" ht="30" customHeight="1" spans="1:12">
      <c r="A11" s="86">
        <v>8</v>
      </c>
      <c r="B11" s="87" t="s">
        <v>41</v>
      </c>
      <c r="C11" s="12" t="s">
        <v>30</v>
      </c>
      <c r="D11" s="91" t="s">
        <v>31</v>
      </c>
      <c r="E11" s="72" t="s">
        <v>23</v>
      </c>
      <c r="F11" s="88" t="s">
        <v>46</v>
      </c>
      <c r="G11" s="89" t="s">
        <v>47</v>
      </c>
      <c r="H11" s="90" t="s">
        <v>26</v>
      </c>
      <c r="I11" s="92">
        <v>0</v>
      </c>
      <c r="J11" s="90" t="s">
        <v>27</v>
      </c>
      <c r="K11" s="92">
        <v>0</v>
      </c>
      <c r="L11" s="93"/>
    </row>
    <row r="12" ht="30" customHeight="1" spans="1:12">
      <c r="A12" s="20">
        <v>9</v>
      </c>
      <c r="B12" s="84" t="s">
        <v>41</v>
      </c>
      <c r="C12" s="12" t="s">
        <v>30</v>
      </c>
      <c r="D12" s="91" t="s">
        <v>31</v>
      </c>
      <c r="E12" s="72" t="s">
        <v>23</v>
      </c>
      <c r="F12" s="22" t="s">
        <v>48</v>
      </c>
      <c r="G12" s="23" t="s">
        <v>49</v>
      </c>
      <c r="H12" s="24" t="s">
        <v>26</v>
      </c>
      <c r="I12" s="25">
        <v>0</v>
      </c>
      <c r="J12" s="24" t="s">
        <v>27</v>
      </c>
      <c r="K12" s="25">
        <v>0</v>
      </c>
      <c r="L12" s="35"/>
    </row>
    <row r="13" ht="30" customHeight="1" spans="1:12">
      <c r="A13" s="86">
        <v>10</v>
      </c>
      <c r="B13" s="87" t="s">
        <v>41</v>
      </c>
      <c r="C13" s="11" t="s">
        <v>34</v>
      </c>
      <c r="D13" s="85" t="s">
        <v>22</v>
      </c>
      <c r="E13" s="58" t="s">
        <v>35</v>
      </c>
      <c r="F13" s="88" t="s">
        <v>50</v>
      </c>
      <c r="G13" s="89" t="s">
        <v>51</v>
      </c>
      <c r="H13" s="90" t="s">
        <v>26</v>
      </c>
      <c r="I13" s="92">
        <v>0</v>
      </c>
      <c r="J13" s="90" t="s">
        <v>27</v>
      </c>
      <c r="K13" s="92">
        <v>0</v>
      </c>
      <c r="L13" s="93"/>
    </row>
    <row r="14" ht="30" customHeight="1" spans="1:12">
      <c r="A14" s="20">
        <v>11</v>
      </c>
      <c r="B14" s="84" t="s">
        <v>41</v>
      </c>
      <c r="C14" s="13" t="s">
        <v>38</v>
      </c>
      <c r="D14" s="91" t="s">
        <v>31</v>
      </c>
      <c r="E14" s="58" t="s">
        <v>35</v>
      </c>
      <c r="F14" s="22" t="s">
        <v>50</v>
      </c>
      <c r="G14" s="23" t="s">
        <v>52</v>
      </c>
      <c r="H14" s="24" t="s">
        <v>26</v>
      </c>
      <c r="I14" s="25">
        <v>0</v>
      </c>
      <c r="J14" s="24" t="s">
        <v>27</v>
      </c>
      <c r="K14" s="25">
        <v>0</v>
      </c>
      <c r="L14" s="35"/>
    </row>
    <row r="15" ht="30" customHeight="1" spans="1:12">
      <c r="A15" s="86">
        <v>12</v>
      </c>
      <c r="B15" s="87" t="s">
        <v>53</v>
      </c>
      <c r="C15" s="11" t="s">
        <v>34</v>
      </c>
      <c r="D15" s="85" t="s">
        <v>22</v>
      </c>
      <c r="E15" s="58" t="s">
        <v>35</v>
      </c>
      <c r="F15" s="88" t="s">
        <v>54</v>
      </c>
      <c r="G15" s="89" t="s">
        <v>55</v>
      </c>
      <c r="H15" s="90" t="s">
        <v>26</v>
      </c>
      <c r="I15" s="92">
        <v>0</v>
      </c>
      <c r="J15" s="90" t="s">
        <v>27</v>
      </c>
      <c r="K15" s="92">
        <v>0</v>
      </c>
      <c r="L15" s="93"/>
    </row>
    <row r="16" ht="30" customHeight="1" spans="1:12">
      <c r="A16" s="20">
        <v>13</v>
      </c>
      <c r="B16" s="84" t="s">
        <v>53</v>
      </c>
      <c r="C16" s="11" t="s">
        <v>34</v>
      </c>
      <c r="D16" s="85" t="s">
        <v>22</v>
      </c>
      <c r="E16" s="58" t="s">
        <v>35</v>
      </c>
      <c r="F16" s="22" t="s">
        <v>56</v>
      </c>
      <c r="G16" s="23" t="s">
        <v>57</v>
      </c>
      <c r="H16" s="24" t="s">
        <v>26</v>
      </c>
      <c r="I16" s="25">
        <v>0</v>
      </c>
      <c r="J16" s="24" t="s">
        <v>27</v>
      </c>
      <c r="K16" s="25">
        <v>0</v>
      </c>
      <c r="L16" s="35"/>
    </row>
    <row r="17" ht="30" customHeight="1" spans="1:12">
      <c r="A17" s="86">
        <v>14</v>
      </c>
      <c r="B17" s="87" t="s">
        <v>53</v>
      </c>
      <c r="C17" s="11" t="s">
        <v>34</v>
      </c>
      <c r="D17" s="85" t="s">
        <v>22</v>
      </c>
      <c r="E17" s="58" t="s">
        <v>35</v>
      </c>
      <c r="F17" s="88" t="s">
        <v>58</v>
      </c>
      <c r="G17" s="89" t="s">
        <v>59</v>
      </c>
      <c r="H17" s="90" t="s">
        <v>26</v>
      </c>
      <c r="I17" s="92">
        <v>0</v>
      </c>
      <c r="J17" s="90" t="s">
        <v>27</v>
      </c>
      <c r="K17" s="92">
        <v>0</v>
      </c>
      <c r="L17" s="93"/>
    </row>
    <row r="18" ht="30" customHeight="1" spans="1:12">
      <c r="A18" s="20">
        <v>15</v>
      </c>
      <c r="B18" s="84" t="s">
        <v>53</v>
      </c>
      <c r="C18" s="13" t="s">
        <v>38</v>
      </c>
      <c r="D18" s="91" t="s">
        <v>31</v>
      </c>
      <c r="E18" s="58" t="s">
        <v>35</v>
      </c>
      <c r="F18" s="22" t="s">
        <v>60</v>
      </c>
      <c r="G18" s="23" t="s">
        <v>61</v>
      </c>
      <c r="H18" s="24" t="s">
        <v>26</v>
      </c>
      <c r="I18" s="25">
        <v>0</v>
      </c>
      <c r="J18" s="24" t="s">
        <v>27</v>
      </c>
      <c r="K18" s="25">
        <v>0</v>
      </c>
      <c r="L18" s="35"/>
    </row>
    <row r="19" ht="30" customHeight="1" spans="1:12">
      <c r="A19" s="86">
        <v>16</v>
      </c>
      <c r="B19" s="87" t="s">
        <v>53</v>
      </c>
      <c r="C19" s="13" t="s">
        <v>38</v>
      </c>
      <c r="D19" s="91" t="s">
        <v>31</v>
      </c>
      <c r="E19" s="58" t="s">
        <v>35</v>
      </c>
      <c r="F19" s="88" t="s">
        <v>62</v>
      </c>
      <c r="G19" s="89" t="s">
        <v>63</v>
      </c>
      <c r="H19" s="90" t="s">
        <v>26</v>
      </c>
      <c r="I19" s="92">
        <v>0</v>
      </c>
      <c r="J19" s="90" t="s">
        <v>27</v>
      </c>
      <c r="K19" s="92">
        <v>0</v>
      </c>
      <c r="L19" s="93"/>
    </row>
    <row r="20" ht="30" customHeight="1" spans="1:12">
      <c r="A20" s="20">
        <v>17</v>
      </c>
      <c r="B20" s="84" t="s">
        <v>64</v>
      </c>
      <c r="C20" s="11" t="s">
        <v>34</v>
      </c>
      <c r="D20" s="85" t="s">
        <v>22</v>
      </c>
      <c r="E20" s="58" t="s">
        <v>35</v>
      </c>
      <c r="F20" s="22" t="s">
        <v>65</v>
      </c>
      <c r="G20" s="23" t="s">
        <v>66</v>
      </c>
      <c r="H20" s="24" t="s">
        <v>26</v>
      </c>
      <c r="I20" s="25">
        <v>0</v>
      </c>
      <c r="J20" s="24" t="s">
        <v>27</v>
      </c>
      <c r="K20" s="25">
        <v>0</v>
      </c>
      <c r="L20" s="35"/>
    </row>
    <row r="21" ht="30" customHeight="1" spans="1:12">
      <c r="A21" s="86">
        <v>18</v>
      </c>
      <c r="B21" s="87" t="s">
        <v>64</v>
      </c>
      <c r="C21" s="11" t="s">
        <v>34</v>
      </c>
      <c r="D21" s="85" t="s">
        <v>22</v>
      </c>
      <c r="E21" s="58" t="s">
        <v>35</v>
      </c>
      <c r="F21" s="88" t="s">
        <v>67</v>
      </c>
      <c r="G21" s="89" t="s">
        <v>68</v>
      </c>
      <c r="H21" s="90" t="s">
        <v>26</v>
      </c>
      <c r="I21" s="92">
        <v>0</v>
      </c>
      <c r="J21" s="90" t="s">
        <v>27</v>
      </c>
      <c r="K21" s="92">
        <v>0</v>
      </c>
      <c r="L21" s="93"/>
    </row>
    <row r="22" ht="30" customHeight="1" spans="1:12">
      <c r="A22" s="20">
        <v>19</v>
      </c>
      <c r="B22" s="84" t="s">
        <v>64</v>
      </c>
      <c r="C22" s="13" t="s">
        <v>38</v>
      </c>
      <c r="D22" s="91" t="s">
        <v>31</v>
      </c>
      <c r="E22" s="58" t="s">
        <v>35</v>
      </c>
      <c r="F22" s="22" t="s">
        <v>69</v>
      </c>
      <c r="G22" s="23" t="s">
        <v>70</v>
      </c>
      <c r="H22" s="24" t="s">
        <v>26</v>
      </c>
      <c r="I22" s="25">
        <v>0</v>
      </c>
      <c r="J22" s="24" t="s">
        <v>27</v>
      </c>
      <c r="K22" s="25">
        <v>0</v>
      </c>
      <c r="L22" s="35"/>
    </row>
    <row r="23" ht="30" customHeight="1" spans="1:12">
      <c r="A23" s="86">
        <v>20</v>
      </c>
      <c r="B23" s="87" t="s">
        <v>64</v>
      </c>
      <c r="C23" s="13" t="s">
        <v>38</v>
      </c>
      <c r="D23" s="91" t="s">
        <v>31</v>
      </c>
      <c r="E23" s="58" t="s">
        <v>35</v>
      </c>
      <c r="F23" s="88" t="s">
        <v>71</v>
      </c>
      <c r="G23" s="89" t="s">
        <v>72</v>
      </c>
      <c r="H23" s="90" t="s">
        <v>26</v>
      </c>
      <c r="I23" s="92">
        <v>0</v>
      </c>
      <c r="J23" s="90" t="s">
        <v>27</v>
      </c>
      <c r="K23" s="92">
        <v>0</v>
      </c>
      <c r="L23" s="93"/>
    </row>
    <row r="24" ht="30" customHeight="1" spans="1:12">
      <c r="A24" s="20">
        <v>21</v>
      </c>
      <c r="B24" s="84" t="s">
        <v>64</v>
      </c>
      <c r="C24" s="12" t="s">
        <v>30</v>
      </c>
      <c r="D24" s="91" t="s">
        <v>31</v>
      </c>
      <c r="E24" s="72" t="s">
        <v>23</v>
      </c>
      <c r="F24" s="22" t="s">
        <v>73</v>
      </c>
      <c r="G24" s="23" t="s">
        <v>74</v>
      </c>
      <c r="H24" s="24" t="s">
        <v>26</v>
      </c>
      <c r="I24" s="25">
        <v>0</v>
      </c>
      <c r="J24" s="24" t="s">
        <v>27</v>
      </c>
      <c r="K24" s="25">
        <v>0</v>
      </c>
      <c r="L24" s="35"/>
    </row>
    <row r="25" ht="30" customHeight="1" spans="1:12">
      <c r="A25" s="86">
        <v>22</v>
      </c>
      <c r="B25" s="87" t="s">
        <v>75</v>
      </c>
      <c r="C25" s="10" t="s">
        <v>21</v>
      </c>
      <c r="D25" s="85" t="s">
        <v>22</v>
      </c>
      <c r="E25" s="72" t="s">
        <v>23</v>
      </c>
      <c r="F25" s="88" t="s">
        <v>76</v>
      </c>
      <c r="G25" s="89" t="s">
        <v>77</v>
      </c>
      <c r="H25" s="90" t="s">
        <v>26</v>
      </c>
      <c r="I25" s="92">
        <v>0</v>
      </c>
      <c r="J25" s="90" t="s">
        <v>27</v>
      </c>
      <c r="K25" s="92">
        <v>0</v>
      </c>
      <c r="L25" s="93"/>
    </row>
    <row r="26" ht="30" customHeight="1" spans="1:12">
      <c r="A26" s="20">
        <v>23</v>
      </c>
      <c r="B26" s="84" t="s">
        <v>75</v>
      </c>
      <c r="C26" s="12" t="s">
        <v>30</v>
      </c>
      <c r="D26" s="91" t="s">
        <v>31</v>
      </c>
      <c r="E26" s="72" t="s">
        <v>23</v>
      </c>
      <c r="F26" s="22" t="s">
        <v>78</v>
      </c>
      <c r="G26" s="23" t="s">
        <v>79</v>
      </c>
      <c r="H26" s="24" t="s">
        <v>26</v>
      </c>
      <c r="I26" s="25">
        <v>0</v>
      </c>
      <c r="J26" s="24" t="s">
        <v>27</v>
      </c>
      <c r="K26" s="25">
        <v>0</v>
      </c>
      <c r="L26" s="35"/>
    </row>
    <row r="27" ht="30" customHeight="1" spans="1:12">
      <c r="A27" s="86">
        <v>24</v>
      </c>
      <c r="B27" s="87" t="s">
        <v>75</v>
      </c>
      <c r="C27" s="11" t="s">
        <v>34</v>
      </c>
      <c r="D27" s="85" t="s">
        <v>22</v>
      </c>
      <c r="E27" s="58" t="s">
        <v>35</v>
      </c>
      <c r="F27" s="88" t="s">
        <v>80</v>
      </c>
      <c r="G27" s="89" t="s">
        <v>81</v>
      </c>
      <c r="H27" s="90" t="s">
        <v>26</v>
      </c>
      <c r="I27" s="92">
        <v>0</v>
      </c>
      <c r="J27" s="90" t="s">
        <v>27</v>
      </c>
      <c r="K27" s="92">
        <v>0</v>
      </c>
      <c r="L27" s="93"/>
    </row>
    <row r="28" ht="30" customHeight="1" spans="1:12">
      <c r="A28" s="20">
        <v>25</v>
      </c>
      <c r="B28" s="84" t="s">
        <v>75</v>
      </c>
      <c r="C28" s="13" t="s">
        <v>38</v>
      </c>
      <c r="D28" s="91" t="s">
        <v>31</v>
      </c>
      <c r="E28" s="58" t="s">
        <v>35</v>
      </c>
      <c r="F28" s="22" t="s">
        <v>82</v>
      </c>
      <c r="G28" s="23" t="s">
        <v>83</v>
      </c>
      <c r="H28" s="24" t="s">
        <v>26</v>
      </c>
      <c r="I28" s="25">
        <v>0</v>
      </c>
      <c r="J28" s="24" t="s">
        <v>27</v>
      </c>
      <c r="K28" s="25">
        <v>0</v>
      </c>
      <c r="L28" s="35"/>
    </row>
  </sheetData>
  <mergeCells count="1">
    <mergeCell ref="A1:L1"/>
  </mergeCells>
  <conditionalFormatting sqref="H4:H28">
    <cfRule type="expression" dxfId="0" priority="2">
      <formula>H4="Done"</formula>
    </cfRule>
    <cfRule type="expression" dxfId="1" priority="3">
      <formula>H4="In Progress"</formula>
    </cfRule>
    <cfRule type="expression" dxfId="2" priority="4">
      <formula>H4="Blocked"</formula>
    </cfRule>
    <cfRule type="expression" dxfId="3" priority="5">
      <formula>H4="Not Started"</formula>
    </cfRule>
  </conditionalFormatting>
  <conditionalFormatting sqref="I4:I28">
    <cfRule type="dataBar" priority="9">
      <dataBar>
        <cfvo type="num" val="0"/>
        <cfvo type="num" val="100"/>
        <color rgb="FF185FA5"/>
      </dataBar>
      <extLst>
        <ext xmlns:x14="http://schemas.microsoft.com/office/spreadsheetml/2009/9/main" uri="{B025F937-C7B1-47D3-B67F-A62EFF666E3E}">
          <x14:id>{480dca2a-7c9f-482c-81f7-25064242914f}</x14:id>
        </ext>
      </extLst>
    </cfRule>
  </conditionalFormatting>
  <conditionalFormatting sqref="J4:J28">
    <cfRule type="expression" dxfId="0" priority="6">
      <formula>J4="Approved"</formula>
    </cfRule>
    <cfRule type="expression" dxfId="4" priority="7">
      <formula>J4="In Review"</formula>
    </cfRule>
    <cfRule type="expression" dxfId="2" priority="8">
      <formula>J4="Failed"</formula>
    </cfRule>
  </conditionalFormatting>
  <conditionalFormatting sqref="K4:K28">
    <cfRule type="dataBar" priority="10">
      <dataBar>
        <cfvo type="num" val="0"/>
        <cfvo type="num" val="100"/>
        <color rgb="FF085041"/>
      </dataBar>
      <extLst>
        <ext xmlns:x14="http://schemas.microsoft.com/office/spreadsheetml/2009/9/main" uri="{B025F937-C7B1-47D3-B67F-A62EFF666E3E}">
          <x14:id>{4f7b4b33-ca93-42fc-8097-3f3378d95d6b}</x14:id>
        </ext>
      </extLst>
    </cfRule>
  </conditionalFormatting>
  <dataValidations count="3">
    <dataValidation type="list" sqref="H4:H28">
      <formula1>"Not Started,In Progress,Blocked,Done"</formula1>
    </dataValidation>
    <dataValidation type="whole" operator="between" showErrorMessage="1" errorTitle="Invalid value" error="Enter a number between 0 and 100" sqref="I4:I28 K4:K28">
      <formula1>0</formula1>
      <formula2>100</formula2>
    </dataValidation>
    <dataValidation type="list" sqref="J4:J28">
      <formula1>"Pending,In Review,Approved,Failed"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0dca2a-7c9f-482c-81f7-25064242914f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185FA5"/>
              <x14:axisColor indexed="65"/>
            </x14:dataBar>
          </x14:cfRule>
          <xm:sqref>I4:I28</xm:sqref>
        </x14:conditionalFormatting>
        <x14:conditionalFormatting xmlns:xm="http://schemas.microsoft.com/office/excel/2006/main">
          <x14:cfRule type="dataBar" id="{4f7b4b33-ca93-42fc-8097-3f3378d95d6b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085041"/>
              <x14:axisColor indexed="65"/>
            </x14:dataBar>
          </x14:cfRule>
          <xm:sqref>K4:K28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showGridLines="0" workbookViewId="0">
      <pane ySplit="3" topLeftCell="A4" activePane="bottomLeft" state="frozen"/>
      <selection/>
      <selection pane="bottomLeft" activeCell="A1" sqref="A1:K1"/>
    </sheetView>
  </sheetViews>
  <sheetFormatPr defaultColWidth="8.68181818181818" defaultRowHeight="14.5" outlineLevelRow="7"/>
  <cols>
    <col min="1" max="1" width="4" customWidth="1"/>
    <col min="2" max="2" width="13" customWidth="1"/>
    <col min="3" max="3" width="38" customWidth="1"/>
    <col min="4" max="4" width="50" customWidth="1"/>
    <col min="5" max="5" width="15" customWidth="1"/>
    <col min="6" max="6" width="13" customWidth="1"/>
    <col min="7" max="7" width="16" customWidth="1"/>
    <col min="8" max="8" width="19" customWidth="1"/>
    <col min="9" max="9" width="16" customWidth="1"/>
    <col min="10" max="10" width="14" customWidth="1"/>
    <col min="11" max="11" width="32" customWidth="1"/>
  </cols>
  <sheetData>
    <row r="1" ht="25.5" customHeight="1" spans="1:11">
      <c r="A1" s="66" t="s">
        <v>84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ht="21.75" customHeight="1" spans="1:11">
      <c r="A2" s="17" t="s">
        <v>85</v>
      </c>
      <c r="B2" s="67" t="s">
        <v>86</v>
      </c>
      <c r="C2" s="17" t="s">
        <v>3</v>
      </c>
      <c r="D2" s="67">
        <f>COUNTIF(E4:E8,"Done")</f>
        <v>0</v>
      </c>
      <c r="E2" s="17" t="s">
        <v>6</v>
      </c>
      <c r="F2" s="67" t="str">
        <f>IFERROR(AVERAGE(F4:F8),0)&amp;"%"</f>
        <v>0%</v>
      </c>
      <c r="G2" s="17" t="s">
        <v>87</v>
      </c>
      <c r="H2" s="67" t="str">
        <f>IFERROR(COUNTIF(E4:E8,"Done")/5*100,0)&amp;"%"</f>
        <v>0%</v>
      </c>
      <c r="I2" s="17" t="s">
        <v>7</v>
      </c>
      <c r="J2" s="67" t="str">
        <f>IFERROR(COUNTIF(H4:H8,"Approved")/5*100,0)&amp;"%"</f>
        <v>0%</v>
      </c>
      <c r="K2" s="67"/>
    </row>
    <row r="3" ht="19.5" customHeight="1" spans="1:11">
      <c r="A3" s="68" t="s">
        <v>8</v>
      </c>
      <c r="B3" s="68" t="s">
        <v>9</v>
      </c>
      <c r="C3" s="68" t="s">
        <v>13</v>
      </c>
      <c r="D3" s="68" t="s">
        <v>14</v>
      </c>
      <c r="E3" s="68" t="s">
        <v>15</v>
      </c>
      <c r="F3" s="68" t="s">
        <v>16</v>
      </c>
      <c r="G3" s="68" t="s">
        <v>88</v>
      </c>
      <c r="H3" s="68" t="s">
        <v>17</v>
      </c>
      <c r="I3" s="68" t="s">
        <v>89</v>
      </c>
      <c r="J3" s="68" t="s">
        <v>90</v>
      </c>
      <c r="K3" s="68" t="s">
        <v>19</v>
      </c>
    </row>
    <row r="4" ht="30" customHeight="1" spans="1:11">
      <c r="A4" s="20">
        <v>1</v>
      </c>
      <c r="B4" s="69" t="s">
        <v>20</v>
      </c>
      <c r="C4" s="22" t="s">
        <v>24</v>
      </c>
      <c r="D4" s="23" t="s">
        <v>25</v>
      </c>
      <c r="E4" s="24" t="s">
        <v>26</v>
      </c>
      <c r="F4" s="25">
        <v>0</v>
      </c>
      <c r="G4" s="70">
        <f>F4</f>
        <v>0</v>
      </c>
      <c r="H4" s="24" t="s">
        <v>27</v>
      </c>
      <c r="I4" s="25">
        <v>0</v>
      </c>
      <c r="J4" s="34" t="s">
        <v>34</v>
      </c>
      <c r="K4" s="35"/>
    </row>
    <row r="5" ht="30" customHeight="1" spans="1:11">
      <c r="A5" s="71">
        <v>2</v>
      </c>
      <c r="B5" s="72" t="s">
        <v>20</v>
      </c>
      <c r="C5" s="73" t="s">
        <v>28</v>
      </c>
      <c r="D5" s="74" t="s">
        <v>29</v>
      </c>
      <c r="E5" s="75" t="s">
        <v>26</v>
      </c>
      <c r="F5" s="76">
        <v>0</v>
      </c>
      <c r="G5" s="77">
        <f>F5</f>
        <v>0</v>
      </c>
      <c r="H5" s="75" t="s">
        <v>27</v>
      </c>
      <c r="I5" s="76">
        <v>0</v>
      </c>
      <c r="J5" s="78" t="s">
        <v>34</v>
      </c>
      <c r="K5" s="79"/>
    </row>
    <row r="6" ht="30" customHeight="1" spans="1:11">
      <c r="A6" s="20">
        <v>3</v>
      </c>
      <c r="B6" s="69" t="s">
        <v>41</v>
      </c>
      <c r="C6" s="22" t="s">
        <v>42</v>
      </c>
      <c r="D6" s="23" t="s">
        <v>43</v>
      </c>
      <c r="E6" s="24" t="s">
        <v>26</v>
      </c>
      <c r="F6" s="25">
        <v>0</v>
      </c>
      <c r="G6" s="70">
        <f>F6</f>
        <v>0</v>
      </c>
      <c r="H6" s="24" t="s">
        <v>27</v>
      </c>
      <c r="I6" s="25">
        <v>0</v>
      </c>
      <c r="J6" s="34" t="s">
        <v>34</v>
      </c>
      <c r="K6" s="35"/>
    </row>
    <row r="7" ht="30" customHeight="1" spans="1:11">
      <c r="A7" s="71">
        <v>4</v>
      </c>
      <c r="B7" s="72" t="s">
        <v>41</v>
      </c>
      <c r="C7" s="73" t="s">
        <v>44</v>
      </c>
      <c r="D7" s="74" t="s">
        <v>45</v>
      </c>
      <c r="E7" s="75" t="s">
        <v>26</v>
      </c>
      <c r="F7" s="76">
        <v>0</v>
      </c>
      <c r="G7" s="77">
        <f>F7</f>
        <v>0</v>
      </c>
      <c r="H7" s="75" t="s">
        <v>27</v>
      </c>
      <c r="I7" s="76">
        <v>0</v>
      </c>
      <c r="J7" s="78" t="s">
        <v>34</v>
      </c>
      <c r="K7" s="79"/>
    </row>
    <row r="8" ht="30" customHeight="1" spans="1:11">
      <c r="A8" s="20">
        <v>5</v>
      </c>
      <c r="B8" s="69" t="s">
        <v>75</v>
      </c>
      <c r="C8" s="22" t="s">
        <v>76</v>
      </c>
      <c r="D8" s="23" t="s">
        <v>77</v>
      </c>
      <c r="E8" s="24" t="s">
        <v>26</v>
      </c>
      <c r="F8" s="25">
        <v>0</v>
      </c>
      <c r="G8" s="70">
        <f>F8</f>
        <v>0</v>
      </c>
      <c r="H8" s="24" t="s">
        <v>27</v>
      </c>
      <c r="I8" s="25">
        <v>0</v>
      </c>
      <c r="J8" s="34" t="s">
        <v>34</v>
      </c>
      <c r="K8" s="35"/>
    </row>
  </sheetData>
  <mergeCells count="1">
    <mergeCell ref="A1:K1"/>
  </mergeCells>
  <conditionalFormatting sqref="E4:E8">
    <cfRule type="expression" dxfId="0" priority="2">
      <formula>E4="Done"</formula>
    </cfRule>
    <cfRule type="expression" dxfId="1" priority="3">
      <formula>E4="In Progress"</formula>
    </cfRule>
    <cfRule type="expression" dxfId="2" priority="4">
      <formula>E4="Blocked"</formula>
    </cfRule>
    <cfRule type="expression" dxfId="0" priority="5">
      <formula>H4="Approved"</formula>
    </cfRule>
  </conditionalFormatting>
  <conditionalFormatting sqref="F4:F8">
    <cfRule type="dataBar" priority="8">
      <dataBar>
        <cfvo type="num" val="0"/>
        <cfvo type="num" val="100"/>
        <color rgb="FF185FA5"/>
      </dataBar>
      <extLst>
        <ext xmlns:x14="http://schemas.microsoft.com/office/spreadsheetml/2009/9/main" uri="{B025F937-C7B1-47D3-B67F-A62EFF666E3E}">
          <x14:id>{4c17d71f-4380-4298-8c6f-c422e0cde074}</x14:id>
        </ext>
      </extLst>
    </cfRule>
  </conditionalFormatting>
  <conditionalFormatting sqref="H4:H8">
    <cfRule type="expression" dxfId="4" priority="6">
      <formula>H4="In Review"</formula>
    </cfRule>
    <cfRule type="expression" dxfId="2" priority="7">
      <formula>H4="Failed"</formula>
    </cfRule>
  </conditionalFormatting>
  <conditionalFormatting sqref="I4:I8">
    <cfRule type="dataBar" priority="9">
      <dataBar>
        <cfvo type="num" val="0"/>
        <cfvo type="num" val="100"/>
        <color rgb="FF085041"/>
      </dataBar>
      <extLst>
        <ext xmlns:x14="http://schemas.microsoft.com/office/spreadsheetml/2009/9/main" uri="{B025F937-C7B1-47D3-B67F-A62EFF666E3E}">
          <x14:id>{790122ca-2a0d-44cc-a79c-876337eb2bbb}</x14:id>
        </ext>
      </extLst>
    </cfRule>
  </conditionalFormatting>
  <dataValidations count="3">
    <dataValidation type="list" sqref="E4:E8">
      <formula1>"Not Started,In Progress,Blocked,Done"</formula1>
    </dataValidation>
    <dataValidation type="whole" operator="between" showErrorMessage="1" errorTitle="Invalid" error="0–100 only" sqref="F4:F8 I4:I8">
      <formula1>0</formula1>
      <formula2>100</formula2>
    </dataValidation>
    <dataValidation type="list" sqref="H4:H8">
      <formula1>"Pending,In Review,Approved,Failed"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17d71f-4380-4298-8c6f-c422e0cde074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185FA5"/>
              <x14:axisColor indexed="65"/>
            </x14:dataBar>
          </x14:cfRule>
          <xm:sqref>F4:F8</xm:sqref>
        </x14:conditionalFormatting>
        <x14:conditionalFormatting xmlns:xm="http://schemas.microsoft.com/office/excel/2006/main">
          <x14:cfRule type="dataBar" id="{790122ca-2a0d-44cc-a79c-876337eb2bbb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085041"/>
              <x14:axisColor indexed="65"/>
            </x14:dataBar>
          </x14:cfRule>
          <xm:sqref>I4:I8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workbookViewId="0">
      <pane ySplit="3" topLeftCell="A4" activePane="bottomLeft" state="frozen"/>
      <selection/>
      <selection pane="bottomLeft" activeCell="A1" sqref="A1:K1"/>
    </sheetView>
  </sheetViews>
  <sheetFormatPr defaultColWidth="8.68181818181818" defaultRowHeight="14.5"/>
  <cols>
    <col min="1" max="1" width="4" customWidth="1"/>
    <col min="2" max="2" width="13" customWidth="1"/>
    <col min="3" max="3" width="38" customWidth="1"/>
    <col min="4" max="4" width="50" customWidth="1"/>
    <col min="5" max="5" width="15" customWidth="1"/>
    <col min="6" max="6" width="13" customWidth="1"/>
    <col min="7" max="7" width="16" customWidth="1"/>
    <col min="8" max="8" width="19" customWidth="1"/>
    <col min="9" max="9" width="16" customWidth="1"/>
    <col min="10" max="10" width="14" customWidth="1"/>
    <col min="11" max="11" width="32" customWidth="1"/>
  </cols>
  <sheetData>
    <row r="1" ht="25.5" customHeight="1" spans="1:11">
      <c r="A1" s="52" t="s">
        <v>91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ht="21.75" customHeight="1" spans="1:11">
      <c r="A2" s="17" t="s">
        <v>85</v>
      </c>
      <c r="B2" s="53" t="s">
        <v>92</v>
      </c>
      <c r="C2" s="17" t="s">
        <v>3</v>
      </c>
      <c r="D2" s="53">
        <f>COUNTIF(E4:E11,"Done")</f>
        <v>0</v>
      </c>
      <c r="E2" s="17" t="s">
        <v>6</v>
      </c>
      <c r="F2" s="53" t="str">
        <f>IFERROR(AVERAGE(F4:F11),0)&amp;"%"</f>
        <v>0%</v>
      </c>
      <c r="G2" s="17" t="s">
        <v>87</v>
      </c>
      <c r="H2" s="53" t="str">
        <f>IFERROR(COUNTIF(E4:E11,"Done")/8*100,0)&amp;"%"</f>
        <v>0%</v>
      </c>
      <c r="I2" s="17" t="s">
        <v>7</v>
      </c>
      <c r="J2" s="53" t="str">
        <f>IFERROR(COUNTIF(H4:H11,"Approved")/8*100,0)&amp;"%"</f>
        <v>0%</v>
      </c>
      <c r="K2" s="53"/>
    </row>
    <row r="3" ht="19.5" customHeight="1" spans="1:11">
      <c r="A3" s="54" t="s">
        <v>8</v>
      </c>
      <c r="B3" s="54" t="s">
        <v>9</v>
      </c>
      <c r="C3" s="54" t="s">
        <v>13</v>
      </c>
      <c r="D3" s="54" t="s">
        <v>14</v>
      </c>
      <c r="E3" s="54" t="s">
        <v>15</v>
      </c>
      <c r="F3" s="54" t="s">
        <v>16</v>
      </c>
      <c r="G3" s="54" t="s">
        <v>88</v>
      </c>
      <c r="H3" s="54" t="s">
        <v>17</v>
      </c>
      <c r="I3" s="54" t="s">
        <v>89</v>
      </c>
      <c r="J3" s="54" t="s">
        <v>90</v>
      </c>
      <c r="K3" s="54" t="s">
        <v>19</v>
      </c>
    </row>
    <row r="4" ht="30" customHeight="1" spans="1:11">
      <c r="A4" s="20">
        <v>1</v>
      </c>
      <c r="B4" s="55" t="s">
        <v>20</v>
      </c>
      <c r="C4" s="22" t="s">
        <v>36</v>
      </c>
      <c r="D4" s="23" t="s">
        <v>37</v>
      </c>
      <c r="E4" s="24" t="s">
        <v>26</v>
      </c>
      <c r="F4" s="25">
        <v>0</v>
      </c>
      <c r="G4" s="56">
        <f t="shared" ref="G4:G11" si="0">F4</f>
        <v>0</v>
      </c>
      <c r="H4" s="24" t="s">
        <v>27</v>
      </c>
      <c r="I4" s="25">
        <v>0</v>
      </c>
      <c r="J4" s="34" t="s">
        <v>21</v>
      </c>
      <c r="K4" s="35"/>
    </row>
    <row r="5" ht="30" customHeight="1" spans="1:11">
      <c r="A5" s="57">
        <v>2</v>
      </c>
      <c r="B5" s="58" t="s">
        <v>41</v>
      </c>
      <c r="C5" s="59" t="s">
        <v>50</v>
      </c>
      <c r="D5" s="60" t="s">
        <v>51</v>
      </c>
      <c r="E5" s="61" t="s">
        <v>26</v>
      </c>
      <c r="F5" s="62">
        <v>0</v>
      </c>
      <c r="G5" s="63">
        <f t="shared" si="0"/>
        <v>0</v>
      </c>
      <c r="H5" s="61" t="s">
        <v>27</v>
      </c>
      <c r="I5" s="62">
        <v>0</v>
      </c>
      <c r="J5" s="64" t="s">
        <v>21</v>
      </c>
      <c r="K5" s="65"/>
    </row>
    <row r="6" ht="30" customHeight="1" spans="1:11">
      <c r="A6" s="20">
        <v>3</v>
      </c>
      <c r="B6" s="55" t="s">
        <v>53</v>
      </c>
      <c r="C6" s="22" t="s">
        <v>54</v>
      </c>
      <c r="D6" s="23" t="s">
        <v>55</v>
      </c>
      <c r="E6" s="24" t="s">
        <v>26</v>
      </c>
      <c r="F6" s="25">
        <v>0</v>
      </c>
      <c r="G6" s="56">
        <f t="shared" si="0"/>
        <v>0</v>
      </c>
      <c r="H6" s="24" t="s">
        <v>27</v>
      </c>
      <c r="I6" s="25">
        <v>0</v>
      </c>
      <c r="J6" s="34" t="s">
        <v>21</v>
      </c>
      <c r="K6" s="35"/>
    </row>
    <row r="7" ht="30" customHeight="1" spans="1:11">
      <c r="A7" s="57">
        <v>4</v>
      </c>
      <c r="B7" s="58" t="s">
        <v>53</v>
      </c>
      <c r="C7" s="59" t="s">
        <v>56</v>
      </c>
      <c r="D7" s="60" t="s">
        <v>57</v>
      </c>
      <c r="E7" s="61" t="s">
        <v>26</v>
      </c>
      <c r="F7" s="62">
        <v>0</v>
      </c>
      <c r="G7" s="63">
        <f t="shared" si="0"/>
        <v>0</v>
      </c>
      <c r="H7" s="61" t="s">
        <v>27</v>
      </c>
      <c r="I7" s="62">
        <v>0</v>
      </c>
      <c r="J7" s="64" t="s">
        <v>21</v>
      </c>
      <c r="K7" s="65"/>
    </row>
    <row r="8" ht="30" customHeight="1" spans="1:11">
      <c r="A8" s="20">
        <v>5</v>
      </c>
      <c r="B8" s="55" t="s">
        <v>53</v>
      </c>
      <c r="C8" s="22" t="s">
        <v>58</v>
      </c>
      <c r="D8" s="23" t="s">
        <v>59</v>
      </c>
      <c r="E8" s="24" t="s">
        <v>26</v>
      </c>
      <c r="F8" s="25">
        <v>0</v>
      </c>
      <c r="G8" s="56">
        <f t="shared" si="0"/>
        <v>0</v>
      </c>
      <c r="H8" s="24" t="s">
        <v>27</v>
      </c>
      <c r="I8" s="25">
        <v>0</v>
      </c>
      <c r="J8" s="34" t="s">
        <v>21</v>
      </c>
      <c r="K8" s="35"/>
    </row>
    <row r="9" ht="30" customHeight="1" spans="1:11">
      <c r="A9" s="57">
        <v>6</v>
      </c>
      <c r="B9" s="58" t="s">
        <v>64</v>
      </c>
      <c r="C9" s="59" t="s">
        <v>65</v>
      </c>
      <c r="D9" s="60" t="s">
        <v>66</v>
      </c>
      <c r="E9" s="61" t="s">
        <v>26</v>
      </c>
      <c r="F9" s="62">
        <v>0</v>
      </c>
      <c r="G9" s="63">
        <f t="shared" si="0"/>
        <v>0</v>
      </c>
      <c r="H9" s="61" t="s">
        <v>27</v>
      </c>
      <c r="I9" s="62">
        <v>0</v>
      </c>
      <c r="J9" s="64" t="s">
        <v>21</v>
      </c>
      <c r="K9" s="65"/>
    </row>
    <row r="10" ht="30" customHeight="1" spans="1:11">
      <c r="A10" s="20">
        <v>7</v>
      </c>
      <c r="B10" s="55" t="s">
        <v>64</v>
      </c>
      <c r="C10" s="22" t="s">
        <v>67</v>
      </c>
      <c r="D10" s="23" t="s">
        <v>68</v>
      </c>
      <c r="E10" s="24" t="s">
        <v>26</v>
      </c>
      <c r="F10" s="25">
        <v>0</v>
      </c>
      <c r="G10" s="56">
        <f t="shared" si="0"/>
        <v>0</v>
      </c>
      <c r="H10" s="24" t="s">
        <v>27</v>
      </c>
      <c r="I10" s="25">
        <v>0</v>
      </c>
      <c r="J10" s="34" t="s">
        <v>21</v>
      </c>
      <c r="K10" s="35"/>
    </row>
    <row r="11" ht="30" customHeight="1" spans="1:11">
      <c r="A11" s="57">
        <v>8</v>
      </c>
      <c r="B11" s="58" t="s">
        <v>75</v>
      </c>
      <c r="C11" s="59" t="s">
        <v>80</v>
      </c>
      <c r="D11" s="60" t="s">
        <v>81</v>
      </c>
      <c r="E11" s="61" t="s">
        <v>26</v>
      </c>
      <c r="F11" s="62">
        <v>0</v>
      </c>
      <c r="G11" s="63">
        <f t="shared" si="0"/>
        <v>0</v>
      </c>
      <c r="H11" s="61" t="s">
        <v>27</v>
      </c>
      <c r="I11" s="62">
        <v>0</v>
      </c>
      <c r="J11" s="64" t="s">
        <v>21</v>
      </c>
      <c r="K11" s="65"/>
    </row>
  </sheetData>
  <mergeCells count="1">
    <mergeCell ref="A1:K1"/>
  </mergeCells>
  <conditionalFormatting sqref="E4:E11">
    <cfRule type="expression" dxfId="0" priority="2">
      <formula>E4="Done"</formula>
    </cfRule>
    <cfRule type="expression" dxfId="1" priority="3">
      <formula>E4="In Progress"</formula>
    </cfRule>
    <cfRule type="expression" dxfId="2" priority="4">
      <formula>E4="Blocked"</formula>
    </cfRule>
    <cfRule type="expression" dxfId="0" priority="5">
      <formula>H4="Approved"</formula>
    </cfRule>
  </conditionalFormatting>
  <conditionalFormatting sqref="F4:F11">
    <cfRule type="dataBar" priority="8">
      <dataBar>
        <cfvo type="num" val="0"/>
        <cfvo type="num" val="100"/>
        <color rgb="FF3C3489"/>
      </dataBar>
      <extLst>
        <ext xmlns:x14="http://schemas.microsoft.com/office/spreadsheetml/2009/9/main" uri="{B025F937-C7B1-47D3-B67F-A62EFF666E3E}">
          <x14:id>{23c74106-ac49-4482-87ff-3f90d5281b85}</x14:id>
        </ext>
      </extLst>
    </cfRule>
  </conditionalFormatting>
  <conditionalFormatting sqref="H4:H11">
    <cfRule type="expression" dxfId="4" priority="6">
      <formula>H4="In Review"</formula>
    </cfRule>
    <cfRule type="expression" dxfId="2" priority="7">
      <formula>H4="Failed"</formula>
    </cfRule>
  </conditionalFormatting>
  <conditionalFormatting sqref="I4:I11">
    <cfRule type="dataBar" priority="9">
      <dataBar>
        <cfvo type="num" val="0"/>
        <cfvo type="num" val="100"/>
        <color rgb="FF085041"/>
      </dataBar>
      <extLst>
        <ext xmlns:x14="http://schemas.microsoft.com/office/spreadsheetml/2009/9/main" uri="{B025F937-C7B1-47D3-B67F-A62EFF666E3E}">
          <x14:id>{53ee954b-c6bd-4ac4-bbc0-9053ded5b0e1}</x14:id>
        </ext>
      </extLst>
    </cfRule>
  </conditionalFormatting>
  <dataValidations count="3">
    <dataValidation type="list" sqref="E4:E11">
      <formula1>"Not Started,In Progress,Blocked,Done"</formula1>
    </dataValidation>
    <dataValidation type="whole" operator="between" showErrorMessage="1" errorTitle="Invalid" error="0–100 only" sqref="F4:F11 I4:I11">
      <formula1>0</formula1>
      <formula2>100</formula2>
    </dataValidation>
    <dataValidation type="list" sqref="H4:H11">
      <formula1>"Pending,In Review,Approved,Failed"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74106-ac49-4482-87ff-3f90d5281b85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3C3489"/>
              <x14:axisColor indexed="65"/>
            </x14:dataBar>
          </x14:cfRule>
          <xm:sqref>F4:F11</xm:sqref>
        </x14:conditionalFormatting>
        <x14:conditionalFormatting xmlns:xm="http://schemas.microsoft.com/office/excel/2006/main">
          <x14:cfRule type="dataBar" id="{53ee954b-c6bd-4ac4-bbc0-9053ded5b0e1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085041"/>
              <x14:axisColor indexed="65"/>
            </x14:dataBar>
          </x14:cfRule>
          <xm:sqref>I4:I11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showGridLines="0" workbookViewId="0">
      <pane ySplit="3" topLeftCell="A4" activePane="bottomLeft" state="frozen"/>
      <selection/>
      <selection pane="bottomLeft" activeCell="A1" sqref="A1:K1"/>
    </sheetView>
  </sheetViews>
  <sheetFormatPr defaultColWidth="8.68181818181818" defaultRowHeight="14.5" outlineLevelRow="7"/>
  <cols>
    <col min="1" max="1" width="4" customWidth="1"/>
    <col min="2" max="2" width="13" customWidth="1"/>
    <col min="3" max="3" width="38" customWidth="1"/>
    <col min="4" max="4" width="50" customWidth="1"/>
    <col min="5" max="5" width="15" customWidth="1"/>
    <col min="6" max="6" width="13" customWidth="1"/>
    <col min="7" max="7" width="16" customWidth="1"/>
    <col min="8" max="8" width="19" customWidth="1"/>
    <col min="9" max="9" width="16" customWidth="1"/>
    <col min="10" max="10" width="14" customWidth="1"/>
    <col min="11" max="11" width="32" customWidth="1"/>
  </cols>
  <sheetData>
    <row r="1" ht="25.5" customHeight="1" spans="1:11">
      <c r="A1" s="38" t="s">
        <v>93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ht="21.75" customHeight="1" spans="1:11">
      <c r="A2" s="17" t="s">
        <v>85</v>
      </c>
      <c r="B2" s="39" t="s">
        <v>86</v>
      </c>
      <c r="C2" s="17" t="s">
        <v>3</v>
      </c>
      <c r="D2" s="39">
        <f>COUNTIF(E4:E8,"Done")</f>
        <v>0</v>
      </c>
      <c r="E2" s="17" t="s">
        <v>6</v>
      </c>
      <c r="F2" s="39" t="str">
        <f>IFERROR(AVERAGE(F4:F8),0)&amp;"%"</f>
        <v>0%</v>
      </c>
      <c r="G2" s="17" t="s">
        <v>87</v>
      </c>
      <c r="H2" s="39" t="str">
        <f>IFERROR(COUNTIF(E4:E8,"Done")/5*100,0)&amp;"%"</f>
        <v>0%</v>
      </c>
      <c r="I2" s="17" t="s">
        <v>7</v>
      </c>
      <c r="J2" s="39" t="str">
        <f>IFERROR(COUNTIF(H4:H8,"Approved")/5*100,0)&amp;"%"</f>
        <v>0%</v>
      </c>
      <c r="K2" s="39"/>
    </row>
    <row r="3" ht="19.5" customHeight="1" spans="1:11">
      <c r="A3" s="40" t="s">
        <v>8</v>
      </c>
      <c r="B3" s="40" t="s">
        <v>9</v>
      </c>
      <c r="C3" s="40" t="s">
        <v>13</v>
      </c>
      <c r="D3" s="40" t="s">
        <v>14</v>
      </c>
      <c r="E3" s="40" t="s">
        <v>15</v>
      </c>
      <c r="F3" s="40" t="s">
        <v>16</v>
      </c>
      <c r="G3" s="40" t="s">
        <v>88</v>
      </c>
      <c r="H3" s="40" t="s">
        <v>17</v>
      </c>
      <c r="I3" s="40" t="s">
        <v>89</v>
      </c>
      <c r="J3" s="40" t="s">
        <v>90</v>
      </c>
      <c r="K3" s="40" t="s">
        <v>19</v>
      </c>
    </row>
    <row r="4" ht="30" customHeight="1" spans="1:11">
      <c r="A4" s="20">
        <v>1</v>
      </c>
      <c r="B4" s="41" t="s">
        <v>20</v>
      </c>
      <c r="C4" s="22" t="s">
        <v>32</v>
      </c>
      <c r="D4" s="23" t="s">
        <v>33</v>
      </c>
      <c r="E4" s="24" t="s">
        <v>26</v>
      </c>
      <c r="F4" s="25">
        <v>0</v>
      </c>
      <c r="G4" s="42">
        <f>F4</f>
        <v>0</v>
      </c>
      <c r="H4" s="24" t="s">
        <v>27</v>
      </c>
      <c r="I4" s="25">
        <v>0</v>
      </c>
      <c r="J4" s="34" t="s">
        <v>38</v>
      </c>
      <c r="K4" s="35"/>
    </row>
    <row r="5" ht="30" customHeight="1" spans="1:11">
      <c r="A5" s="43">
        <v>2</v>
      </c>
      <c r="B5" s="44" t="s">
        <v>41</v>
      </c>
      <c r="C5" s="45" t="s">
        <v>46</v>
      </c>
      <c r="D5" s="46" t="s">
        <v>47</v>
      </c>
      <c r="E5" s="47" t="s">
        <v>26</v>
      </c>
      <c r="F5" s="48">
        <v>0</v>
      </c>
      <c r="G5" s="49">
        <f>F5</f>
        <v>0</v>
      </c>
      <c r="H5" s="47" t="s">
        <v>27</v>
      </c>
      <c r="I5" s="48">
        <v>0</v>
      </c>
      <c r="J5" s="50" t="s">
        <v>38</v>
      </c>
      <c r="K5" s="51"/>
    </row>
    <row r="6" ht="30" customHeight="1" spans="1:11">
      <c r="A6" s="20">
        <v>3</v>
      </c>
      <c r="B6" s="41" t="s">
        <v>41</v>
      </c>
      <c r="C6" s="22" t="s">
        <v>48</v>
      </c>
      <c r="D6" s="23" t="s">
        <v>49</v>
      </c>
      <c r="E6" s="24" t="s">
        <v>26</v>
      </c>
      <c r="F6" s="25">
        <v>0</v>
      </c>
      <c r="G6" s="42">
        <f>F6</f>
        <v>0</v>
      </c>
      <c r="H6" s="24" t="s">
        <v>27</v>
      </c>
      <c r="I6" s="25">
        <v>0</v>
      </c>
      <c r="J6" s="34" t="s">
        <v>38</v>
      </c>
      <c r="K6" s="35"/>
    </row>
    <row r="7" ht="30" customHeight="1" spans="1:11">
      <c r="A7" s="43">
        <v>4</v>
      </c>
      <c r="B7" s="44" t="s">
        <v>64</v>
      </c>
      <c r="C7" s="45" t="s">
        <v>73</v>
      </c>
      <c r="D7" s="46" t="s">
        <v>74</v>
      </c>
      <c r="E7" s="47" t="s">
        <v>26</v>
      </c>
      <c r="F7" s="48">
        <v>0</v>
      </c>
      <c r="G7" s="49">
        <f>F7</f>
        <v>0</v>
      </c>
      <c r="H7" s="47" t="s">
        <v>27</v>
      </c>
      <c r="I7" s="48">
        <v>0</v>
      </c>
      <c r="J7" s="50" t="s">
        <v>38</v>
      </c>
      <c r="K7" s="51"/>
    </row>
    <row r="8" ht="30" customHeight="1" spans="1:11">
      <c r="A8" s="20">
        <v>5</v>
      </c>
      <c r="B8" s="41" t="s">
        <v>75</v>
      </c>
      <c r="C8" s="22" t="s">
        <v>78</v>
      </c>
      <c r="D8" s="23" t="s">
        <v>79</v>
      </c>
      <c r="E8" s="24" t="s">
        <v>26</v>
      </c>
      <c r="F8" s="25">
        <v>0</v>
      </c>
      <c r="G8" s="42">
        <f>F8</f>
        <v>0</v>
      </c>
      <c r="H8" s="24" t="s">
        <v>27</v>
      </c>
      <c r="I8" s="25">
        <v>0</v>
      </c>
      <c r="J8" s="34" t="s">
        <v>38</v>
      </c>
      <c r="K8" s="35"/>
    </row>
  </sheetData>
  <mergeCells count="1">
    <mergeCell ref="A1:K1"/>
  </mergeCells>
  <conditionalFormatting sqref="E4:E8">
    <cfRule type="expression" dxfId="0" priority="2">
      <formula>E4="Done"</formula>
    </cfRule>
    <cfRule type="expression" dxfId="1" priority="3">
      <formula>E4="In Progress"</formula>
    </cfRule>
    <cfRule type="expression" dxfId="2" priority="4">
      <formula>E4="Blocked"</formula>
    </cfRule>
    <cfRule type="expression" dxfId="0" priority="5">
      <formula>H4="Approved"</formula>
    </cfRule>
  </conditionalFormatting>
  <conditionalFormatting sqref="F4:F8">
    <cfRule type="dataBar" priority="8">
      <dataBar>
        <cfvo type="num" val="0"/>
        <cfvo type="num" val="100"/>
        <color rgb="FF085041"/>
      </dataBar>
      <extLst>
        <ext xmlns:x14="http://schemas.microsoft.com/office/spreadsheetml/2009/9/main" uri="{B025F937-C7B1-47D3-B67F-A62EFF666E3E}">
          <x14:id>{d677ed61-1d94-487f-af86-ef4480b71d54}</x14:id>
        </ext>
      </extLst>
    </cfRule>
  </conditionalFormatting>
  <conditionalFormatting sqref="H4:H8">
    <cfRule type="expression" dxfId="4" priority="6">
      <formula>H4="In Review"</formula>
    </cfRule>
    <cfRule type="expression" dxfId="2" priority="7">
      <formula>H4="Failed"</formula>
    </cfRule>
  </conditionalFormatting>
  <conditionalFormatting sqref="I4:I8">
    <cfRule type="dataBar" priority="9">
      <dataBar>
        <cfvo type="num" val="0"/>
        <cfvo type="num" val="100"/>
        <color rgb="FF085041"/>
      </dataBar>
      <extLst>
        <ext xmlns:x14="http://schemas.microsoft.com/office/spreadsheetml/2009/9/main" uri="{B025F937-C7B1-47D3-B67F-A62EFF666E3E}">
          <x14:id>{e8f8f809-1d61-4b06-9cf1-7129a0ccf9ca}</x14:id>
        </ext>
      </extLst>
    </cfRule>
  </conditionalFormatting>
  <dataValidations count="3">
    <dataValidation type="list" sqref="E4:E8">
      <formula1>"Not Started,In Progress,Blocked,Done"</formula1>
    </dataValidation>
    <dataValidation type="whole" operator="between" showErrorMessage="1" errorTitle="Invalid" error="0–100 only" sqref="F4:F8 I4:I8">
      <formula1>0</formula1>
      <formula2>100</formula2>
    </dataValidation>
    <dataValidation type="list" sqref="H4:H8">
      <formula1>"Pending,In Review,Approved,Failed"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77ed61-1d94-487f-af86-ef4480b71d54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085041"/>
              <x14:axisColor indexed="65"/>
            </x14:dataBar>
          </x14:cfRule>
          <xm:sqref>F4:F8</xm:sqref>
        </x14:conditionalFormatting>
        <x14:conditionalFormatting xmlns:xm="http://schemas.microsoft.com/office/excel/2006/main">
          <x14:cfRule type="dataBar" id="{e8f8f809-1d61-4b06-9cf1-7129a0ccf9ca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085041"/>
              <x14:axisColor indexed="65"/>
            </x14:dataBar>
          </x14:cfRule>
          <xm:sqref>I4:I8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3" topLeftCell="A4" activePane="bottomLeft" state="frozen"/>
      <selection/>
      <selection pane="bottomLeft" activeCell="A1" sqref="A1:K1"/>
    </sheetView>
  </sheetViews>
  <sheetFormatPr defaultColWidth="8.68181818181818" defaultRowHeight="14.5"/>
  <cols>
    <col min="1" max="1" width="4" customWidth="1"/>
    <col min="2" max="2" width="13" customWidth="1"/>
    <col min="3" max="3" width="38" customWidth="1"/>
    <col min="4" max="4" width="50" customWidth="1"/>
    <col min="5" max="5" width="15" customWidth="1"/>
    <col min="6" max="6" width="13" customWidth="1"/>
    <col min="7" max="7" width="16" customWidth="1"/>
    <col min="8" max="8" width="19" customWidth="1"/>
    <col min="9" max="9" width="16" customWidth="1"/>
    <col min="10" max="10" width="14" customWidth="1"/>
    <col min="11" max="11" width="32" customWidth="1"/>
  </cols>
  <sheetData>
    <row r="1" ht="25.5" customHeight="1" spans="1:1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21.75" customHeight="1" spans="1:11">
      <c r="A2" s="17" t="s">
        <v>85</v>
      </c>
      <c r="B2" s="18" t="s">
        <v>95</v>
      </c>
      <c r="C2" s="17" t="s">
        <v>3</v>
      </c>
      <c r="D2" s="18">
        <f>COUNTIF(E4:E10,"Done")</f>
        <v>0</v>
      </c>
      <c r="E2" s="17" t="s">
        <v>6</v>
      </c>
      <c r="F2" s="18" t="str">
        <f>IFERROR(AVERAGE(F4:F10),0)&amp;"%"</f>
        <v>0%</v>
      </c>
      <c r="G2" s="17" t="s">
        <v>87</v>
      </c>
      <c r="H2" s="18" t="str">
        <f>IFERROR(COUNTIF(E4:E10,"Done")/7*100,0)&amp;"%"</f>
        <v>0%</v>
      </c>
      <c r="I2" s="17" t="s">
        <v>7</v>
      </c>
      <c r="J2" s="18" t="str">
        <f>IFERROR(COUNTIF(H4:H10,"Approved")/7*100,0)&amp;"%"</f>
        <v>0%</v>
      </c>
      <c r="K2" s="18"/>
    </row>
    <row r="3" ht="19.5" customHeight="1" spans="1:11">
      <c r="A3" s="19" t="s">
        <v>8</v>
      </c>
      <c r="B3" s="19" t="s">
        <v>9</v>
      </c>
      <c r="C3" s="19" t="s">
        <v>13</v>
      </c>
      <c r="D3" s="19" t="s">
        <v>14</v>
      </c>
      <c r="E3" s="19" t="s">
        <v>15</v>
      </c>
      <c r="F3" s="19" t="s">
        <v>16</v>
      </c>
      <c r="G3" s="19" t="s">
        <v>88</v>
      </c>
      <c r="H3" s="19" t="s">
        <v>17</v>
      </c>
      <c r="I3" s="19" t="s">
        <v>89</v>
      </c>
      <c r="J3" s="19" t="s">
        <v>90</v>
      </c>
      <c r="K3" s="19" t="s">
        <v>19</v>
      </c>
    </row>
    <row r="4" ht="30" customHeight="1" spans="1:11">
      <c r="A4" s="20">
        <v>1</v>
      </c>
      <c r="B4" s="21" t="s">
        <v>20</v>
      </c>
      <c r="C4" s="22" t="s">
        <v>39</v>
      </c>
      <c r="D4" s="23" t="s">
        <v>40</v>
      </c>
      <c r="E4" s="24" t="s">
        <v>26</v>
      </c>
      <c r="F4" s="25">
        <v>0</v>
      </c>
      <c r="G4" s="26">
        <f t="shared" ref="G4:G10" si="0">F4</f>
        <v>0</v>
      </c>
      <c r="H4" s="24" t="s">
        <v>27</v>
      </c>
      <c r="I4" s="25">
        <v>0</v>
      </c>
      <c r="J4" s="34" t="s">
        <v>30</v>
      </c>
      <c r="K4" s="35"/>
    </row>
    <row r="5" ht="30" customHeight="1" spans="1:11">
      <c r="A5" s="27">
        <v>2</v>
      </c>
      <c r="B5" s="28" t="s">
        <v>41</v>
      </c>
      <c r="C5" s="29" t="s">
        <v>50</v>
      </c>
      <c r="D5" s="30" t="s">
        <v>52</v>
      </c>
      <c r="E5" s="31" t="s">
        <v>26</v>
      </c>
      <c r="F5" s="32">
        <v>0</v>
      </c>
      <c r="G5" s="33">
        <f t="shared" si="0"/>
        <v>0</v>
      </c>
      <c r="H5" s="31" t="s">
        <v>27</v>
      </c>
      <c r="I5" s="32">
        <v>0</v>
      </c>
      <c r="J5" s="36" t="s">
        <v>30</v>
      </c>
      <c r="K5" s="37"/>
    </row>
    <row r="6" ht="30" customHeight="1" spans="1:11">
      <c r="A6" s="20">
        <v>3</v>
      </c>
      <c r="B6" s="21" t="s">
        <v>53</v>
      </c>
      <c r="C6" s="22" t="s">
        <v>60</v>
      </c>
      <c r="D6" s="23" t="s">
        <v>61</v>
      </c>
      <c r="E6" s="24" t="s">
        <v>26</v>
      </c>
      <c r="F6" s="25">
        <v>0</v>
      </c>
      <c r="G6" s="26">
        <f t="shared" si="0"/>
        <v>0</v>
      </c>
      <c r="H6" s="24" t="s">
        <v>27</v>
      </c>
      <c r="I6" s="25">
        <v>0</v>
      </c>
      <c r="J6" s="34" t="s">
        <v>30</v>
      </c>
      <c r="K6" s="35"/>
    </row>
    <row r="7" ht="30" customHeight="1" spans="1:11">
      <c r="A7" s="27">
        <v>4</v>
      </c>
      <c r="B7" s="28" t="s">
        <v>53</v>
      </c>
      <c r="C7" s="29" t="s">
        <v>62</v>
      </c>
      <c r="D7" s="30" t="s">
        <v>63</v>
      </c>
      <c r="E7" s="31" t="s">
        <v>26</v>
      </c>
      <c r="F7" s="32">
        <v>0</v>
      </c>
      <c r="G7" s="33">
        <f t="shared" si="0"/>
        <v>0</v>
      </c>
      <c r="H7" s="31" t="s">
        <v>27</v>
      </c>
      <c r="I7" s="32">
        <v>0</v>
      </c>
      <c r="J7" s="36" t="s">
        <v>30</v>
      </c>
      <c r="K7" s="37"/>
    </row>
    <row r="8" ht="30" customHeight="1" spans="1:11">
      <c r="A8" s="20">
        <v>5</v>
      </c>
      <c r="B8" s="21" t="s">
        <v>64</v>
      </c>
      <c r="C8" s="22" t="s">
        <v>69</v>
      </c>
      <c r="D8" s="23" t="s">
        <v>70</v>
      </c>
      <c r="E8" s="24" t="s">
        <v>26</v>
      </c>
      <c r="F8" s="25">
        <v>0</v>
      </c>
      <c r="G8" s="26">
        <f t="shared" si="0"/>
        <v>0</v>
      </c>
      <c r="H8" s="24" t="s">
        <v>27</v>
      </c>
      <c r="I8" s="25">
        <v>0</v>
      </c>
      <c r="J8" s="34" t="s">
        <v>30</v>
      </c>
      <c r="K8" s="35"/>
    </row>
    <row r="9" ht="30" customHeight="1" spans="1:11">
      <c r="A9" s="27">
        <v>6</v>
      </c>
      <c r="B9" s="28" t="s">
        <v>64</v>
      </c>
      <c r="C9" s="29" t="s">
        <v>71</v>
      </c>
      <c r="D9" s="30" t="s">
        <v>72</v>
      </c>
      <c r="E9" s="31" t="s">
        <v>26</v>
      </c>
      <c r="F9" s="32">
        <v>0</v>
      </c>
      <c r="G9" s="33">
        <f t="shared" si="0"/>
        <v>0</v>
      </c>
      <c r="H9" s="31" t="s">
        <v>27</v>
      </c>
      <c r="I9" s="32">
        <v>0</v>
      </c>
      <c r="J9" s="36" t="s">
        <v>30</v>
      </c>
      <c r="K9" s="37"/>
    </row>
    <row r="10" ht="30" customHeight="1" spans="1:11">
      <c r="A10" s="20">
        <v>7</v>
      </c>
      <c r="B10" s="21" t="s">
        <v>75</v>
      </c>
      <c r="C10" s="22" t="s">
        <v>82</v>
      </c>
      <c r="D10" s="23" t="s">
        <v>83</v>
      </c>
      <c r="E10" s="24" t="s">
        <v>26</v>
      </c>
      <c r="F10" s="25">
        <v>0</v>
      </c>
      <c r="G10" s="26">
        <f t="shared" si="0"/>
        <v>0</v>
      </c>
      <c r="H10" s="24" t="s">
        <v>27</v>
      </c>
      <c r="I10" s="25">
        <v>0</v>
      </c>
      <c r="J10" s="34" t="s">
        <v>30</v>
      </c>
      <c r="K10" s="35"/>
    </row>
  </sheetData>
  <mergeCells count="1">
    <mergeCell ref="A1:K1"/>
  </mergeCells>
  <conditionalFormatting sqref="E4:E10">
    <cfRule type="expression" dxfId="0" priority="2">
      <formula>E4="Done"</formula>
    </cfRule>
    <cfRule type="expression" dxfId="1" priority="3">
      <formula>E4="In Progress"</formula>
    </cfRule>
    <cfRule type="expression" dxfId="2" priority="4">
      <formula>E4="Blocked"</formula>
    </cfRule>
    <cfRule type="expression" dxfId="0" priority="5">
      <formula>H4="Approved"</formula>
    </cfRule>
  </conditionalFormatting>
  <conditionalFormatting sqref="F4:F10">
    <cfRule type="dataBar" priority="8">
      <dataBar>
        <cfvo type="num" val="0"/>
        <cfvo type="num" val="100"/>
        <color rgb="FF72243E"/>
      </dataBar>
      <extLst>
        <ext xmlns:x14="http://schemas.microsoft.com/office/spreadsheetml/2009/9/main" uri="{B025F937-C7B1-47D3-B67F-A62EFF666E3E}">
          <x14:id>{a59d8bdf-718e-4e8c-a159-f28f60f2340a}</x14:id>
        </ext>
      </extLst>
    </cfRule>
  </conditionalFormatting>
  <conditionalFormatting sqref="H4:H10">
    <cfRule type="expression" dxfId="4" priority="6">
      <formula>H4="In Review"</formula>
    </cfRule>
    <cfRule type="expression" dxfId="2" priority="7">
      <formula>H4="Failed"</formula>
    </cfRule>
  </conditionalFormatting>
  <conditionalFormatting sqref="I4:I10">
    <cfRule type="dataBar" priority="9">
      <dataBar>
        <cfvo type="num" val="0"/>
        <cfvo type="num" val="100"/>
        <color rgb="FF085041"/>
      </dataBar>
      <extLst>
        <ext xmlns:x14="http://schemas.microsoft.com/office/spreadsheetml/2009/9/main" uri="{B025F937-C7B1-47D3-B67F-A62EFF666E3E}">
          <x14:id>{c078661d-f430-4134-bc34-4808ffd8decb}</x14:id>
        </ext>
      </extLst>
    </cfRule>
  </conditionalFormatting>
  <dataValidations count="3">
    <dataValidation type="list" sqref="E4:E10">
      <formula1>"Not Started,In Progress,Blocked,Done"</formula1>
    </dataValidation>
    <dataValidation type="whole" operator="between" showErrorMessage="1" errorTitle="Invalid" error="0–100 only" sqref="F4:F10 I4:I10">
      <formula1>0</formula1>
      <formula2>100</formula2>
    </dataValidation>
    <dataValidation type="list" sqref="H4:H10">
      <formula1>"Pending,In Review,Approved,Failed"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9d8bdf-718e-4e8c-a159-f28f60f2340a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72243E"/>
              <x14:axisColor indexed="65"/>
            </x14:dataBar>
          </x14:cfRule>
          <xm:sqref>F4:F10</xm:sqref>
        </x14:conditionalFormatting>
        <x14:conditionalFormatting xmlns:xm="http://schemas.microsoft.com/office/excel/2006/main">
          <x14:cfRule type="dataBar" id="{c078661d-f430-4134-bc34-4808ffd8decb}">
            <x14:dataBar minLength="10" maxLength="90" axisPosition="none">
              <x14:cfvo type="num">
                <xm:f>0</xm:f>
              </x14:cfvo>
              <x14:cfvo type="num">
                <xm:f>100</xm:f>
              </x14:cfvo>
              <x14:negativeFillColor rgb="FF085041"/>
              <x14:axisColor indexed="65"/>
            </x14:dataBar>
          </x14:cfRule>
          <xm:sqref>I4:I10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showGridLines="0" tabSelected="1" workbookViewId="0">
      <selection activeCell="A1" sqref="A1:D1"/>
    </sheetView>
  </sheetViews>
  <sheetFormatPr defaultColWidth="8.68181818181818" defaultRowHeight="14.5" outlineLevelCol="3"/>
  <cols>
    <col min="1" max="1" width="22" customWidth="1"/>
    <col min="2" max="2" width="40" customWidth="1"/>
    <col min="3" max="3" width="18" customWidth="1"/>
    <col min="4" max="4" width="40" customWidth="1"/>
  </cols>
  <sheetData>
    <row r="1" ht="25.5" customHeight="1" spans="1:4">
      <c r="A1" s="1" t="s">
        <v>96</v>
      </c>
      <c r="B1" s="1"/>
      <c r="C1" s="1"/>
      <c r="D1" s="1"/>
    </row>
    <row r="3" ht="18" customHeight="1" spans="1:1">
      <c r="A3" s="2" t="s">
        <v>97</v>
      </c>
    </row>
    <row r="4" ht="18" customHeight="1" spans="1:2">
      <c r="A4" s="3" t="s">
        <v>26</v>
      </c>
      <c r="B4" s="4" t="s">
        <v>98</v>
      </c>
    </row>
    <row r="5" ht="18" customHeight="1" spans="1:2">
      <c r="A5" s="5" t="s">
        <v>99</v>
      </c>
      <c r="B5" s="4" t="s">
        <v>100</v>
      </c>
    </row>
    <row r="6" ht="18" customHeight="1" spans="1:2">
      <c r="A6" s="6" t="s">
        <v>101</v>
      </c>
      <c r="B6" s="4" t="s">
        <v>102</v>
      </c>
    </row>
    <row r="7" ht="18" customHeight="1" spans="1:2">
      <c r="A7" s="7" t="s">
        <v>103</v>
      </c>
      <c r="B7" s="4" t="s">
        <v>104</v>
      </c>
    </row>
    <row r="9" ht="18" customHeight="1" spans="1:1">
      <c r="A9" s="2" t="s">
        <v>105</v>
      </c>
    </row>
    <row r="10" ht="18" customHeight="1" spans="1:2">
      <c r="A10" s="8" t="s">
        <v>27</v>
      </c>
      <c r="B10" s="4" t="s">
        <v>106</v>
      </c>
    </row>
    <row r="11" ht="18" customHeight="1" spans="1:2">
      <c r="A11" s="9" t="s">
        <v>107</v>
      </c>
      <c r="B11" s="4" t="s">
        <v>108</v>
      </c>
    </row>
    <row r="12" ht="18" customHeight="1" spans="1:2">
      <c r="A12" s="7" t="s">
        <v>109</v>
      </c>
      <c r="B12" s="4" t="s">
        <v>110</v>
      </c>
    </row>
    <row r="13" ht="18" customHeight="1" spans="1:2">
      <c r="A13" s="6" t="s">
        <v>111</v>
      </c>
      <c r="B13" s="4" t="s">
        <v>112</v>
      </c>
    </row>
    <row r="15" ht="18" customHeight="1" spans="1:1">
      <c r="A15" s="2" t="s">
        <v>113</v>
      </c>
    </row>
    <row r="16" ht="18" customHeight="1" spans="1:2">
      <c r="A16" s="10" t="s">
        <v>21</v>
      </c>
      <c r="B16" s="4" t="s">
        <v>114</v>
      </c>
    </row>
    <row r="17" ht="18" customHeight="1" spans="1:2">
      <c r="A17" s="11" t="s">
        <v>34</v>
      </c>
      <c r="B17" s="4" t="s">
        <v>115</v>
      </c>
    </row>
    <row r="18" ht="18" customHeight="1" spans="1:2">
      <c r="A18" s="12" t="s">
        <v>30</v>
      </c>
      <c r="B18" s="4" t="s">
        <v>116</v>
      </c>
    </row>
    <row r="19" ht="18" customHeight="1" spans="1:2">
      <c r="A19" s="13" t="s">
        <v>38</v>
      </c>
      <c r="B19" s="4" t="s">
        <v>117</v>
      </c>
    </row>
    <row r="21" ht="18" customHeight="1" spans="1:1">
      <c r="A21" s="14" t="s">
        <v>118</v>
      </c>
    </row>
    <row r="22" ht="15.75" customHeight="1" spans="1:4">
      <c r="A22" s="15" t="s">
        <v>119</v>
      </c>
      <c r="B22" s="15"/>
      <c r="C22" s="15"/>
      <c r="D22" s="15"/>
    </row>
    <row r="23" ht="15.75" customHeight="1" spans="1:4">
      <c r="A23" s="15" t="s">
        <v>120</v>
      </c>
      <c r="B23" s="15"/>
      <c r="C23" s="15"/>
      <c r="D23" s="15"/>
    </row>
    <row r="24" ht="15.75" customHeight="1" spans="1:4">
      <c r="A24" s="15" t="s">
        <v>121</v>
      </c>
      <c r="B24" s="15"/>
      <c r="C24" s="15"/>
      <c r="D24" s="15"/>
    </row>
    <row r="25" ht="15.75" customHeight="1" spans="1:4">
      <c r="A25" s="15" t="s">
        <v>122</v>
      </c>
      <c r="B25" s="15"/>
      <c r="C25" s="15"/>
      <c r="D25" s="15"/>
    </row>
    <row r="26" ht="15.75" customHeight="1" spans="1:4">
      <c r="A26" s="15" t="s">
        <v>123</v>
      </c>
      <c r="B26" s="15"/>
      <c r="C26" s="15"/>
      <c r="D26" s="15"/>
    </row>
    <row r="27" ht="15.75" customHeight="1" spans="1:4">
      <c r="A27" s="15" t="s">
        <v>124</v>
      </c>
      <c r="B27" s="15"/>
      <c r="C27" s="15"/>
      <c r="D27" s="15"/>
    </row>
    <row r="28" ht="15.75" customHeight="1" spans="1:4">
      <c r="A28" s="15" t="s">
        <v>125</v>
      </c>
      <c r="B28" s="15"/>
      <c r="C28" s="15"/>
      <c r="D28" s="15"/>
    </row>
  </sheetData>
  <mergeCells count="8">
    <mergeCell ref="A1:D1"/>
    <mergeCell ref="A22:D22"/>
    <mergeCell ref="A23:D23"/>
    <mergeCell ref="A24:D24"/>
    <mergeCell ref="A25:D25"/>
    <mergeCell ref="A26:D26"/>
    <mergeCell ref="A27:D27"/>
    <mergeCell ref="A28:D2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Master Tracker</vt:lpstr>
      <vt:lpstr>Kester</vt:lpstr>
      <vt:lpstr>Grace</vt:lpstr>
      <vt:lpstr>Izumi</vt:lpstr>
      <vt:lpstr>Ogo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martins ugo</cp:lastModifiedBy>
  <cp:revision>0</cp:revision>
  <dcterms:created xsi:type="dcterms:W3CDTF">2026-04-13T12:28:00Z</dcterms:created>
  <dcterms:modified xsi:type="dcterms:W3CDTF">2026-04-13T12:45:08Z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323215D61C34489AA60F516389B1DB20_13</vt:lpwstr>
  </property>
  <property fmtid="{D5CDD505-2E9C-101B-9397-08002B2CF9AE}" pid="3" name="KSOProductBuildVer">
    <vt:lpwstr>2057-12.2.0.23197</vt:lpwstr>
  </property>
</Properties>
</file>